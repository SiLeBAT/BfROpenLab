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ions" sheetId="1" state="visible" r:id="rId3"/>
    <sheet name="BackTracing" sheetId="2" state="visible" r:id="rId4"/>
    <sheet name="ForwardTracing_Opt" sheetId="3" state="visible" r:id="rId5"/>
    <sheet name="LookUp" sheetId="4" state="visible" r:id="rId6"/>
    <sheet name="Help" sheetId="5" state="visible" r:id="rId7"/>
  </sheets>
  <definedNames>
    <definedName function="false" hidden="true" localSheetId="0" name="_xlnm._FilterDatabase" vbProcedure="false">Stations!$A$1:$J$8</definedName>
    <definedName function="false" hidden="false" name="Companies" vbProcedure="false">Stations!$B$2:$B$958</definedName>
    <definedName function="false" hidden="false" name="StationIDs" vbProcedure="false">Stations!$A$2:$A$958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<sst xmlns="http://schemas.openxmlformats.org/spreadsheetml/2006/main" count="450" uniqueCount="159">
  <si>
    <t xml:space="preserve">Company_ID</t>
  </si>
  <si>
    <t xml:space="preserve">Name</t>
  </si>
  <si>
    <t xml:space="preserve">Street</t>
  </si>
  <si>
    <t xml:space="preserve">Street Number</t>
  </si>
  <si>
    <t xml:space="preserve">Postal</t>
  </si>
  <si>
    <t xml:space="preserve">City</t>
  </si>
  <si>
    <t xml:space="preserve">District</t>
  </si>
  <si>
    <t xml:space="preserve">State</t>
  </si>
  <si>
    <t xml:space="preserve">Country</t>
  </si>
  <si>
    <t xml:space="preserve">Type of business</t>
  </si>
  <si>
    <t xml:space="preserve">Additional Fields -&gt;</t>
  </si>
  <si>
    <t xml:space="preserve">Comment</t>
  </si>
  <si>
    <t xml:space="preserve">NameXY</t>
  </si>
  <si>
    <t xml:space="preserve">StreetA</t>
  </si>
  <si>
    <t xml:space="preserve">Missing Company_ID</t>
  </si>
  <si>
    <t xml:space="preserve">SE_DID</t>
  </si>
  <si>
    <t xml:space="preserve">NameAB</t>
  </si>
  <si>
    <t xml:space="preserve">StreetB</t>
  </si>
  <si>
    <t xml:space="preserve">Duplicate Comany_ID</t>
  </si>
  <si>
    <t xml:space="preserve">NamesCD</t>
  </si>
  <si>
    <t xml:space="preserve">StreetC</t>
  </si>
  <si>
    <t xml:space="preserve">Duplicate Company_ID</t>
  </si>
  <si>
    <t xml:space="preserve">SE_MN</t>
  </si>
  <si>
    <t xml:space="preserve">Missing Name</t>
  </si>
  <si>
    <t xml:space="preserve">SE_DN1</t>
  </si>
  <si>
    <t xml:space="preserve">NameX</t>
  </si>
  <si>
    <t xml:space="preserve">Duplicate Name</t>
  </si>
  <si>
    <t xml:space="preserve">SE_DN2</t>
  </si>
  <si>
    <t xml:space="preserve">SE_D1</t>
  </si>
  <si>
    <t xml:space="preserve">NameA</t>
  </si>
  <si>
    <t xml:space="preserve">NoA</t>
  </si>
  <si>
    <t xml:space="preserve">ZipA</t>
  </si>
  <si>
    <t xml:space="preserve">CityA</t>
  </si>
  <si>
    <t xml:space="preserve">Duplicate Station</t>
  </si>
  <si>
    <t xml:space="preserve">SE_D2</t>
  </si>
  <si>
    <t xml:space="preserve">SE_Mdel</t>
  </si>
  <si>
    <t xml:space="preserve">NameZ</t>
  </si>
  <si>
    <t xml:space="preserve">Missing Delivery</t>
  </si>
  <si>
    <t xml:space="preserve">S1</t>
  </si>
  <si>
    <t xml:space="preserve">NameS1</t>
  </si>
  <si>
    <t xml:space="preserve">ok</t>
  </si>
  <si>
    <t xml:space="preserve">S2</t>
  </si>
  <si>
    <t xml:space="preserve">NameS2</t>
  </si>
  <si>
    <t xml:space="preserve">S3</t>
  </si>
  <si>
    <t xml:space="preserve">NameS3</t>
  </si>
  <si>
    <t xml:space="preserve">Reporter Information</t>
  </si>
  <si>
    <t xml:space="preserve">Reporting
Officer</t>
  </si>
  <si>
    <t xml:space="preserve">Reporting Date: Day</t>
  </si>
  <si>
    <t xml:space="preserve">Month</t>
  </si>
  <si>
    <t xml:space="preserve">Year</t>
  </si>
  <si>
    <t xml:space="preserve">Reporting Remark</t>
  </si>
  <si>
    <t xml:space="preserve">Montag</t>
  </si>
  <si>
    <t xml:space="preserve">März</t>
  </si>
  <si>
    <t xml:space="preserve">04</t>
  </si>
  <si>
    <t xml:space="preserve">Station in Focus:</t>
  </si>
  <si>
    <t xml:space="preserve">Products Out</t>
  </si>
  <si>
    <t xml:space="preserve">Additional Fields</t>
  </si>
  <si>
    <t xml:space="preserve">Product Name</t>
  </si>
  <si>
    <t xml:space="preserve">Lot Number</t>
  </si>
  <si>
    <t xml:space="preserve">Delivery Date Departure</t>
  </si>
  <si>
    <t xml:space="preserve">Delivery Date Arrival</t>
  </si>
  <si>
    <t xml:space="preserve">Unit weigt/vol./pck.</t>
  </si>
  <si>
    <t xml:space="preserve">Recipient</t>
  </si>
  <si>
    <t xml:space="preserve">DeliveryID in DB</t>
  </si>
  <si>
    <t xml:space="preserve">Day</t>
  </si>
  <si>
    <t xml:space="preserve">Quantity</t>
  </si>
  <si>
    <t xml:space="preserve">Type / Unit</t>
  </si>
  <si>
    <t xml:space="preserve">LWithMissingProdName</t>
  </si>
  <si>
    <t xml:space="preserve">Missing Product Name</t>
  </si>
  <si>
    <t xml:space="preserve">PA</t>
  </si>
  <si>
    <t xml:space="preserve">LWith2Prods</t>
  </si>
  <si>
    <t xml:space="preserve">LotWithInconsistentProductName</t>
  </si>
  <si>
    <t xml:space="preserve">PB</t>
  </si>
  <si>
    <t xml:space="preserve">P1</t>
  </si>
  <si>
    <t xml:space="preserve">100g Packets</t>
  </si>
  <si>
    <t xml:space="preserve">Missing Lot number</t>
  </si>
  <si>
    <t xml:space="preserve">MissingLotInfo</t>
  </si>
  <si>
    <t xml:space="preserve">Missing LotInfo</t>
  </si>
  <si>
    <t xml:space="preserve">DuplicateLotInfo</t>
  </si>
  <si>
    <t xml:space="preserve">Duplicate LotInfo</t>
  </si>
  <si>
    <t xml:space="preserve">L1</t>
  </si>
  <si>
    <t xml:space="preserve">Missing Recpient</t>
  </si>
  <si>
    <t xml:space="preserve">Sunknown</t>
  </si>
  <si>
    <t xml:space="preserve">Sunkown</t>
  </si>
  <si>
    <t xml:space="preserve">Unknown Recipient</t>
  </si>
  <si>
    <t xml:space="preserve">LY</t>
  </si>
  <si>
    <t xml:space="preserve">1kg</t>
  </si>
  <si>
    <t xml:space="preserve">Missing Quantity</t>
  </si>
  <si>
    <t xml:space="preserve">Invalid Format DDDay</t>
  </si>
  <si>
    <t xml:space="preserve">OutOfRange DDDay</t>
  </si>
  <si>
    <t xml:space="preserve">Missing DDDay</t>
  </si>
  <si>
    <t xml:space="preserve">OutOfRelRange DDDay</t>
  </si>
  <si>
    <t xml:space="preserve">March</t>
  </si>
  <si>
    <t xml:space="preserve">Invalid Format DDMonth</t>
  </si>
  <si>
    <t xml:space="preserve">OutOfRange DDMonth</t>
  </si>
  <si>
    <t xml:space="preserve">Missing DDMonth</t>
  </si>
  <si>
    <t xml:space="preserve">OutOfRange DDYear</t>
  </si>
  <si>
    <t xml:space="preserve">Missing DDYear</t>
  </si>
  <si>
    <t xml:space="preserve">Invalid Format ADDay</t>
  </si>
  <si>
    <t xml:space="preserve">OutOfRange ADDay</t>
  </si>
  <si>
    <t xml:space="preserve">Missing ADDay</t>
  </si>
  <si>
    <t xml:space="preserve">OutOfRelRange ADDay</t>
  </si>
  <si>
    <t xml:space="preserve">Invalid Format ADMonth</t>
  </si>
  <si>
    <t xml:space="preserve">OutOfRange ADMonth</t>
  </si>
  <si>
    <t xml:space="preserve">Missing ADMonth</t>
  </si>
  <si>
    <t xml:space="preserve">OutOfRange ADYear</t>
  </si>
  <si>
    <t xml:space="preserve">Missing ADYear</t>
  </si>
  <si>
    <t xml:space="preserve">ADate &lt; DDate</t>
  </si>
  <si>
    <t xml:space="preserve">Lok</t>
  </si>
  <si>
    <t xml:space="preserve">L36</t>
  </si>
  <si>
    <t xml:space="preserve">Invalid ItemNumber</t>
  </si>
  <si>
    <t xml:space="preserve">Lot Information</t>
  </si>
  <si>
    <t xml:space="preserve">Lot Number of "Product Out"</t>
  </si>
  <si>
    <t xml:space="preserve">Lot size</t>
  </si>
  <si>
    <t xml:space="preserve">Production Date</t>
  </si>
  <si>
    <t xml:space="preserve">Best before date</t>
  </si>
  <si>
    <t xml:space="preserve">Treatment of product during production</t>
  </si>
  <si>
    <t xml:space="preserve">Sampling</t>
  </si>
  <si>
    <t xml:space="preserve">Inconsistent LotInfo</t>
  </si>
  <si>
    <t xml:space="preserve">kg</t>
  </si>
  <si>
    <t xml:space="preserve">Missing LotNo</t>
  </si>
  <si>
    <t xml:space="preserve">LE_MQ</t>
  </si>
  <si>
    <t xml:space="preserve">LE_IProdD</t>
  </si>
  <si>
    <t xml:space="preserve">30.02.2025</t>
  </si>
  <si>
    <t xml:space="preserve">Invalid Production Date</t>
  </si>
  <si>
    <t xml:space="preserve">LE_IBBD</t>
  </si>
  <si>
    <t xml:space="preserve">Invalid Best Before Date</t>
  </si>
  <si>
    <t xml:space="preserve">LX</t>
  </si>
  <si>
    <t xml:space="preserve">L_notListedInPOut</t>
  </si>
  <si>
    <t xml:space="preserve">Lot not listed in Products out</t>
  </si>
  <si>
    <t xml:space="preserve">Lot With Missing ProdName</t>
  </si>
  <si>
    <t xml:space="preserve">Ingredients for Lot(s)</t>
  </si>
  <si>
    <t xml:space="preserve">Ingredient Name</t>
  </si>
  <si>
    <t xml:space="preserve">Ingredient Lot Number</t>
  </si>
  <si>
    <t xml:space="preserve">Delivery Date Arrival (if departure unknown)</t>
  </si>
  <si>
    <t xml:space="preserve">Supplier</t>
  </si>
  <si>
    <t xml:space="preserve">Missing Lot Number</t>
  </si>
  <si>
    <t xml:space="preserve">LUnknown</t>
  </si>
  <si>
    <t xml:space="preserve">Unknown Lot Number</t>
  </si>
  <si>
    <t xml:space="preserve">Missing Zutat name</t>
  </si>
  <si>
    <t xml:space="preserve">Missing Zutat lot</t>
  </si>
  <si>
    <t xml:space="preserve">Missing Zutat Supplier</t>
  </si>
  <si>
    <t xml:space="preserve">Unknown Zutat Supplier</t>
  </si>
  <si>
    <t xml:space="preserve">Monday</t>
  </si>
  <si>
    <t xml:space="preserve">LotNo not listed in POut</t>
  </si>
  <si>
    <t xml:space="preserve">POutLotNo with 2 Products and inconst LotInfo</t>
  </si>
  <si>
    <t xml:space="preserve">LotNo with duplicate LotInfo</t>
  </si>
  <si>
    <t xml:space="preserve">LotNo without LotInfo</t>
  </si>
  <si>
    <t xml:space="preserve">LotWithMissPOName</t>
  </si>
  <si>
    <t xml:space="preserve">Type of Business</t>
  </si>
  <si>
    <t xml:space="preserve">Product Treatment</t>
  </si>
  <si>
    <t xml:space="preserve">Packing Units</t>
  </si>
  <si>
    <t xml:space="preserve">Must be filled in / must be checked by inspector</t>
  </si>
  <si>
    <t xml:space="preserve">already filled by receiver, may be corrected by inspector</t>
  </si>
  <si>
    <t xml:space="preserve">Mandatory fields</t>
  </si>
  <si>
    <t xml:space="preserve">are underlined</t>
  </si>
  <si>
    <t xml:space="preserve">ALWAYS MANDATORY!!! Please create a lot number if the true number is unknown.</t>
  </si>
  <si>
    <t xml:space="preserve">For each requested lot data has to be collected:
- further lot information
- all ingedients with associated delivery information en detail</t>
  </si>
  <si>
    <t xml:space="preserve">Optionaly it is possible to give information on further yet unknown forwards deliveries for each requested lot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</si>
</sst>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dd/mm/yy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sz val="10"/>
      <name val="Arial"/>
      <family val="0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1"/>
      <color theme="1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0" tint="-0.15"/>
        <bgColor rgb="FFF2DCDB"/>
      </patternFill>
    </fill>
    <fill>
      <patternFill patternType="solid">
        <fgColor theme="5" tint="0.7999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0" tint="-0.5"/>
        <bgColor rgb="FF969696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rgb="FFFFFF00"/>
        <bgColor rgb="FFFFCC00"/>
      </patternFill>
    </fill>
  </fills>
  <borders count="4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10" applyFont="true" applyBorder="true" applyAlignment="true" applyProtection="false">
      <alignment horizontal="general" vertical="bottom" textRotation="0" wrapText="false" indent="0" shrinkToFit="false"/>
    </xf>
    <xf numFmtId="164" fontId="2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4" borderId="1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27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5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24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0" borderId="0" xfId="94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9" fillId="24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26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2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0" fillId="26" borderId="1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3" fillId="28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9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3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27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7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7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7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25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2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" fillId="28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4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24" borderId="2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4" borderId="3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2" fillId="25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8" fillId="2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29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2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27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1" fillId="27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3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2" fillId="25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3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24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3" fillId="24" borderId="3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2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30" fillId="26" borderId="1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27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7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7" borderId="3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2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3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27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" fillId="24" borderId="3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24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0" fillId="0" borderId="15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30" fillId="26" borderId="3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0" borderId="15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30" fillId="26" borderId="1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1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32" fillId="30" borderId="3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30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3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3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12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0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82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5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8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dxfs count="3">
    <dxf>
      <fill>
        <patternFill patternType="solid">
          <fgColor rgb="FFF2DC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D9D9D9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DCDB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" activeCellId="0" sqref="L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21.29"/>
    <col collapsed="false" customWidth="true" hidden="false" outlineLevel="0" max="3" min="3" style="1" width="21"/>
    <col collapsed="false" customWidth="true" hidden="false" outlineLevel="0" max="4" min="4" style="1" width="16.84"/>
    <col collapsed="false" customWidth="true" hidden="false" outlineLevel="0" max="5" min="5" style="1" width="14.42"/>
    <col collapsed="false" customWidth="true" hidden="false" outlineLevel="0" max="6" min="6" style="1" width="20.71"/>
    <col collapsed="false" customWidth="true" hidden="false" outlineLevel="0" max="7" min="7" style="1" width="14.71"/>
    <col collapsed="false" customWidth="true" hidden="false" outlineLevel="0" max="8" min="8" style="1" width="13.71"/>
    <col collapsed="false" customWidth="true" hidden="false" outlineLevel="0" max="9" min="9" style="1" width="16.71"/>
    <col collapsed="false" customWidth="true" hidden="false" outlineLevel="0" max="10" min="10" style="1" width="12.42"/>
    <col collapsed="false" customWidth="true" hidden="false" outlineLevel="0" max="11" min="11" style="2" width="11.57"/>
    <col collapsed="false" customWidth="false" hidden="false" outlineLevel="0" max="16384" min="12" style="1" width="9.14"/>
  </cols>
  <sheetData>
    <row r="1" s="10" customFormat="true" ht="24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5" t="s">
        <v>8</v>
      </c>
      <c r="J1" s="7" t="s">
        <v>9</v>
      </c>
      <c r="K1" s="8" t="s">
        <v>10</v>
      </c>
      <c r="L1" s="9" t="s">
        <v>11</v>
      </c>
      <c r="M1" s="9"/>
      <c r="N1" s="9"/>
      <c r="O1" s="9"/>
      <c r="P1" s="9"/>
      <c r="Q1" s="9"/>
      <c r="R1" s="9"/>
      <c r="S1" s="9"/>
    </row>
    <row r="2" customFormat="false" ht="15" hidden="false" customHeight="false" outlineLevel="0" collapsed="false">
      <c r="A2" s="11"/>
      <c r="B2" s="1" t="s">
        <v>12</v>
      </c>
      <c r="C2" s="1" t="s">
        <v>13</v>
      </c>
      <c r="K2" s="12"/>
      <c r="L2" s="1" t="s">
        <v>14</v>
      </c>
    </row>
    <row r="3" customFormat="false" ht="15" hidden="false" customHeight="false" outlineLevel="0" collapsed="false">
      <c r="A3" s="11" t="s">
        <v>15</v>
      </c>
      <c r="B3" s="1" t="s">
        <v>16</v>
      </c>
      <c r="C3" s="1" t="s">
        <v>17</v>
      </c>
      <c r="L3" s="1" t="s">
        <v>18</v>
      </c>
    </row>
    <row r="4" customFormat="false" ht="15" hidden="false" customHeight="false" outlineLevel="0" collapsed="false">
      <c r="A4" s="1" t="s">
        <v>15</v>
      </c>
      <c r="B4" s="1" t="s">
        <v>19</v>
      </c>
      <c r="C4" s="1" t="s">
        <v>20</v>
      </c>
      <c r="L4" s="1" t="s">
        <v>21</v>
      </c>
    </row>
    <row r="5" customFormat="false" ht="15" hidden="false" customHeight="false" outlineLevel="0" collapsed="false">
      <c r="A5" s="1" t="s">
        <v>22</v>
      </c>
      <c r="L5" s="1" t="s">
        <v>23</v>
      </c>
    </row>
    <row r="6" customFormat="false" ht="15" hidden="false" customHeight="false" outlineLevel="0" collapsed="false">
      <c r="A6" s="1" t="s">
        <v>24</v>
      </c>
      <c r="B6" s="1" t="s">
        <v>25</v>
      </c>
      <c r="L6" s="1" t="s">
        <v>26</v>
      </c>
    </row>
    <row r="7" customFormat="false" ht="15" hidden="false" customHeight="false" outlineLevel="0" collapsed="false">
      <c r="A7" s="1" t="s">
        <v>27</v>
      </c>
      <c r="B7" s="1" t="s">
        <v>25</v>
      </c>
      <c r="L7" s="1" t="s">
        <v>26</v>
      </c>
    </row>
    <row r="8" customFormat="false" ht="15" hidden="false" customHeight="false" outlineLevel="0" collapsed="false">
      <c r="A8" s="1" t="s">
        <v>28</v>
      </c>
      <c r="B8" s="1" t="s">
        <v>29</v>
      </c>
      <c r="C8" s="1" t="s">
        <v>13</v>
      </c>
      <c r="D8" s="1" t="s">
        <v>30</v>
      </c>
      <c r="E8" s="1" t="s">
        <v>31</v>
      </c>
      <c r="F8" s="1" t="s">
        <v>32</v>
      </c>
      <c r="L8" s="1" t="s">
        <v>33</v>
      </c>
    </row>
    <row r="9" customFormat="false" ht="15" hidden="false" customHeight="false" outlineLevel="0" collapsed="false">
      <c r="A9" s="1" t="s">
        <v>34</v>
      </c>
      <c r="B9" s="1" t="s">
        <v>29</v>
      </c>
      <c r="C9" s="1" t="s">
        <v>13</v>
      </c>
      <c r="D9" s="1" t="s">
        <v>30</v>
      </c>
      <c r="E9" s="1" t="s">
        <v>31</v>
      </c>
      <c r="F9" s="1" t="s">
        <v>32</v>
      </c>
      <c r="L9" s="1" t="s">
        <v>33</v>
      </c>
    </row>
    <row r="10" customFormat="false" ht="15" hidden="false" customHeight="false" outlineLevel="0" collapsed="false">
      <c r="A10" s="1" t="s">
        <v>35</v>
      </c>
      <c r="B10" s="1" t="s">
        <v>36</v>
      </c>
      <c r="L10" s="1" t="s">
        <v>37</v>
      </c>
    </row>
    <row r="11" customFormat="false" ht="15" hidden="false" customHeight="false" outlineLevel="0" collapsed="false">
      <c r="A11" s="1" t="s">
        <v>38</v>
      </c>
      <c r="B11" s="1" t="s">
        <v>39</v>
      </c>
      <c r="L11" s="1" t="s">
        <v>40</v>
      </c>
    </row>
    <row r="12" customFormat="false" ht="15" hidden="false" customHeight="false" outlineLevel="0" collapsed="false">
      <c r="A12" s="1" t="s">
        <v>41</v>
      </c>
      <c r="B12" s="1" t="s">
        <v>42</v>
      </c>
      <c r="L12" s="1" t="s">
        <v>40</v>
      </c>
    </row>
    <row r="13" customFormat="false" ht="15" hidden="false" customHeight="false" outlineLevel="0" collapsed="false">
      <c r="A13" s="1" t="s">
        <v>43</v>
      </c>
      <c r="B13" s="1" t="s">
        <v>44</v>
      </c>
      <c r="L13" s="1" t="s">
        <v>40</v>
      </c>
    </row>
  </sheetData>
  <autoFilter ref="A1:J8"/>
  <dataValidations count="3">
    <dataValidation allowBlank="false" errorStyle="stop" operator="between" showDropDown="false" showErrorMessage="false" showInputMessage="false" sqref="E2:E3" type="none">
      <formula1>0</formula1>
      <formula2>0</formula2>
    </dataValidation>
    <dataValidation allowBlank="true" errorStyle="stop" operator="greaterThanOrEqual" showDropDown="false" showErrorMessage="true" showInputMessage="true" sqref="B1:I1 K1:XFD1" type="none">
      <formula1>0</formula1>
      <formula2>0</formula2>
    </dataValidation>
    <dataValidation allowBlank="true" errorStyle="stop" operator="between" showDropDown="false" showErrorMessage="true" showInputMessage="true" sqref="J1:J1013" type="list">
      <formula1>tob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L69" activeCellId="0" sqref="L69"/>
    </sheetView>
  </sheetViews>
  <sheetFormatPr defaultColWidth="11.43359375" defaultRowHeight="30" zeroHeight="false" outlineLevelRow="0" outlineLevelCol="0"/>
  <cols>
    <col collapsed="false" customWidth="true" hidden="false" outlineLevel="0" max="1" min="1" style="13" width="26.71"/>
    <col collapsed="false" customWidth="true" hidden="false" outlineLevel="0" max="2" min="2" style="13" width="24"/>
    <col collapsed="false" customWidth="true" hidden="false" outlineLevel="0" max="3" min="3" style="13" width="9.57"/>
    <col collapsed="false" customWidth="true" hidden="false" outlineLevel="0" max="4" min="4" style="13" width="8.42"/>
    <col collapsed="false" customWidth="true" hidden="false" outlineLevel="0" max="5" min="5" style="13" width="11.14"/>
    <col collapsed="false" customWidth="true" hidden="false" outlineLevel="0" max="6" min="6" style="13" width="6"/>
    <col collapsed="false" customWidth="true" hidden="false" outlineLevel="0" max="7" min="7" style="13" width="7.57"/>
    <col collapsed="false" customWidth="true" hidden="false" outlineLevel="0" max="8" min="8" style="13" width="7.86"/>
    <col collapsed="false" customWidth="true" hidden="false" outlineLevel="0" max="9" min="9" style="13" width="10.57"/>
    <col collapsed="false" customWidth="true" hidden="false" outlineLevel="0" max="10" min="10" style="13" width="13.29"/>
    <col collapsed="false" customWidth="true" hidden="false" outlineLevel="0" max="11" min="11" style="13" width="36"/>
    <col collapsed="false" customWidth="true" hidden="false" outlineLevel="0" max="12" min="12" style="13" width="16.14"/>
    <col collapsed="false" customWidth="true" hidden="false" outlineLevel="0" max="13" min="13" style="14" width="16.14"/>
    <col collapsed="false" customWidth="true" hidden="false" outlineLevel="0" max="14" min="14" style="13" width="17.42"/>
    <col collapsed="false" customWidth="true" hidden="false" outlineLevel="0" max="15" min="15" style="13" width="13.42"/>
    <col collapsed="false" customWidth="true" hidden="false" outlineLevel="0" max="16" min="16" style="13" width="21.14"/>
    <col collapsed="false" customWidth="false" hidden="false" outlineLevel="0" max="16384" min="17" style="13" width="11.43"/>
  </cols>
  <sheetData>
    <row r="1" s="13" customFormat="true" ht="21" hidden="false" customHeight="true" outlineLevel="0" collapsed="false">
      <c r="A1" s="15" t="s">
        <v>45</v>
      </c>
      <c r="B1" s="15"/>
      <c r="C1" s="15"/>
      <c r="D1" s="15"/>
      <c r="E1" s="15"/>
      <c r="F1" s="16"/>
      <c r="G1" s="16"/>
      <c r="H1" s="16"/>
      <c r="I1" s="16"/>
      <c r="J1" s="16"/>
    </row>
    <row r="2" s="13" customFormat="true" ht="25.5" hidden="false" customHeight="true" outlineLevel="0" collapsed="false">
      <c r="A2" s="17" t="s">
        <v>46</v>
      </c>
      <c r="B2" s="18" t="s">
        <v>47</v>
      </c>
      <c r="C2" s="18" t="s">
        <v>48</v>
      </c>
      <c r="D2" s="18" t="s">
        <v>49</v>
      </c>
      <c r="E2" s="19" t="s">
        <v>50</v>
      </c>
    </row>
    <row r="3" s="13" customFormat="true" ht="21" hidden="false" customHeight="true" outlineLevel="0" collapsed="false">
      <c r="A3" s="20"/>
      <c r="B3" s="21" t="s">
        <v>51</v>
      </c>
      <c r="C3" s="21" t="s">
        <v>52</v>
      </c>
      <c r="D3" s="22" t="s">
        <v>53</v>
      </c>
      <c r="E3" s="23"/>
    </row>
    <row r="4" s="13" customFormat="true" ht="21" hidden="false" customHeight="true" outlineLevel="0" collapsed="false">
      <c r="A4" s="14"/>
      <c r="B4" s="14"/>
      <c r="C4" s="14"/>
    </row>
    <row r="5" s="13" customFormat="true" ht="21" hidden="false" customHeight="true" outlineLevel="0" collapsed="false">
      <c r="A5" s="24" t="s">
        <v>54</v>
      </c>
      <c r="B5" s="25" t="s">
        <v>41</v>
      </c>
      <c r="C5" s="26" t="str">
        <f aca="false">INDEX(Companies,MATCH(B5,StationIDs,0),1)</f>
        <v>NameS2</v>
      </c>
      <c r="D5" s="16"/>
      <c r="E5" s="16"/>
      <c r="F5" s="16"/>
    </row>
    <row r="6" s="13" customFormat="true" ht="21" hidden="false" customHeight="true" outlineLevel="0" collapsed="false">
      <c r="A6" s="27"/>
      <c r="B6" s="16"/>
      <c r="C6" s="16"/>
      <c r="D6" s="16"/>
      <c r="E6" s="16"/>
      <c r="F6" s="16"/>
    </row>
    <row r="7" s="16" customFormat="true" ht="21" hidden="false" customHeight="true" outlineLevel="0" collapsed="false">
      <c r="A7" s="28" t="s">
        <v>55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9"/>
      <c r="N7" s="30" t="s">
        <v>56</v>
      </c>
      <c r="O7" s="29"/>
      <c r="P7" s="29"/>
      <c r="Q7" s="29"/>
      <c r="R7" s="29"/>
      <c r="S7" s="29"/>
      <c r="T7" s="29"/>
      <c r="U7" s="29"/>
      <c r="V7" s="31"/>
    </row>
    <row r="8" customFormat="false" ht="18.75" hidden="false" customHeight="true" outlineLevel="0" collapsed="false">
      <c r="A8" s="32" t="s">
        <v>57</v>
      </c>
      <c r="B8" s="33" t="s">
        <v>58</v>
      </c>
      <c r="C8" s="34" t="s">
        <v>59</v>
      </c>
      <c r="D8" s="34"/>
      <c r="E8" s="34"/>
      <c r="F8" s="35" t="s">
        <v>60</v>
      </c>
      <c r="G8" s="35"/>
      <c r="H8" s="35"/>
      <c r="I8" s="35" t="s">
        <v>61</v>
      </c>
      <c r="J8" s="35"/>
      <c r="K8" s="36" t="s">
        <v>62</v>
      </c>
      <c r="L8" s="37" t="s">
        <v>62</v>
      </c>
      <c r="M8" s="38" t="s">
        <v>63</v>
      </c>
      <c r="N8" s="39" t="s">
        <v>11</v>
      </c>
      <c r="O8" s="40"/>
      <c r="P8" s="40"/>
      <c r="Q8" s="40"/>
      <c r="R8" s="40"/>
      <c r="S8" s="40"/>
      <c r="T8" s="40"/>
      <c r="U8" s="40"/>
      <c r="V8" s="41"/>
    </row>
    <row r="9" customFormat="false" ht="17.25" hidden="false" customHeight="true" outlineLevel="0" collapsed="false">
      <c r="A9" s="32"/>
      <c r="B9" s="33"/>
      <c r="C9" s="42" t="s">
        <v>64</v>
      </c>
      <c r="D9" s="42" t="s">
        <v>48</v>
      </c>
      <c r="E9" s="42" t="s">
        <v>49</v>
      </c>
      <c r="F9" s="43" t="s">
        <v>64</v>
      </c>
      <c r="G9" s="43" t="s">
        <v>48</v>
      </c>
      <c r="H9" s="43" t="s">
        <v>49</v>
      </c>
      <c r="I9" s="44" t="s">
        <v>65</v>
      </c>
      <c r="J9" s="44" t="s">
        <v>66</v>
      </c>
      <c r="K9" s="36"/>
      <c r="L9" s="37"/>
      <c r="M9" s="38"/>
      <c r="N9" s="39"/>
      <c r="O9" s="40"/>
      <c r="P9" s="40"/>
      <c r="Q9" s="40"/>
      <c r="R9" s="40"/>
      <c r="S9" s="40"/>
      <c r="T9" s="40"/>
      <c r="U9" s="40"/>
      <c r="V9" s="41"/>
    </row>
    <row r="10" s="16" customFormat="true" ht="21" hidden="false" customHeight="true" outlineLevel="0" collapsed="false">
      <c r="A10" s="45"/>
      <c r="B10" s="45" t="s">
        <v>67</v>
      </c>
      <c r="C10" s="45"/>
      <c r="D10" s="45"/>
      <c r="E10" s="45"/>
      <c r="F10" s="46"/>
      <c r="G10" s="46"/>
      <c r="H10" s="46"/>
      <c r="I10" s="46"/>
      <c r="J10" s="46"/>
      <c r="K10" s="46" t="s">
        <v>43</v>
      </c>
      <c r="L10" s="46" t="s">
        <v>44</v>
      </c>
      <c r="M10" s="46" t="str">
        <f aca="false">_xlfn.CONCAT(A10, ";", B10, ";", C10, ";", D10, ";", E10, ";", F10, ";", G10, ";", H10, ";", I10, ";", J10, ";", K10)</f>
        <v>;LWithMissingProdName;;;;;;;;;S3</v>
      </c>
      <c r="N10" s="45" t="s">
        <v>68</v>
      </c>
      <c r="O10" s="45"/>
      <c r="P10" s="45"/>
      <c r="Q10" s="45"/>
      <c r="R10" s="45"/>
      <c r="S10" s="45"/>
      <c r="T10" s="45"/>
      <c r="U10" s="45"/>
      <c r="V10" s="45"/>
    </row>
    <row r="11" s="16" customFormat="true" ht="21" hidden="false" customHeight="true" outlineLevel="0" collapsed="false">
      <c r="A11" s="45" t="s">
        <v>69</v>
      </c>
      <c r="B11" s="45" t="s">
        <v>70</v>
      </c>
      <c r="C11" s="45"/>
      <c r="D11" s="45"/>
      <c r="E11" s="45"/>
      <c r="F11" s="46"/>
      <c r="G11" s="46"/>
      <c r="H11" s="46"/>
      <c r="I11" s="46"/>
      <c r="J11" s="46"/>
      <c r="K11" s="46" t="s">
        <v>43</v>
      </c>
      <c r="L11" s="46" t="s">
        <v>44</v>
      </c>
      <c r="M11" s="46" t="str">
        <f aca="false">_xlfn.CONCAT(A11, ";", B11, ";", C11, ";", D11, ";", E11, ";", F11, ";", G11, ";", H11, ";", I11, ";", J11, ";", K11)</f>
        <v>PA;LWith2Prods;;;;;;;;;S3</v>
      </c>
      <c r="N11" s="45" t="s">
        <v>71</v>
      </c>
      <c r="O11" s="45"/>
      <c r="P11" s="45"/>
      <c r="Q11" s="45"/>
      <c r="R11" s="45"/>
      <c r="S11" s="45"/>
      <c r="T11" s="45"/>
      <c r="U11" s="45"/>
      <c r="V11" s="45"/>
    </row>
    <row r="12" s="16" customFormat="true" ht="21" hidden="false" customHeight="true" outlineLevel="0" collapsed="false">
      <c r="A12" s="45" t="s">
        <v>72</v>
      </c>
      <c r="B12" s="45" t="s">
        <v>70</v>
      </c>
      <c r="C12" s="45"/>
      <c r="D12" s="45"/>
      <c r="E12" s="45"/>
      <c r="F12" s="46"/>
      <c r="G12" s="46"/>
      <c r="H12" s="46"/>
      <c r="I12" s="46"/>
      <c r="J12" s="46"/>
      <c r="K12" s="46" t="s">
        <v>43</v>
      </c>
      <c r="L12" s="46" t="s">
        <v>44</v>
      </c>
      <c r="M12" s="46" t="str">
        <f aca="false">_xlfn.CONCAT(A12, ";", B12, ";", C12, ";", D12, ";", E12, ";", F12, ";", G12, ";", H12, ";", I12, ";", J12, ";", K12)</f>
        <v>PB;LWith2Prods;;;;;;;;;S3</v>
      </c>
      <c r="N12" s="45" t="s">
        <v>71</v>
      </c>
      <c r="O12" s="45"/>
      <c r="P12" s="45"/>
      <c r="Q12" s="45"/>
      <c r="R12" s="45"/>
      <c r="S12" s="45"/>
      <c r="T12" s="45"/>
      <c r="U12" s="45"/>
      <c r="V12" s="45"/>
    </row>
    <row r="13" s="16" customFormat="true" ht="21" hidden="false" customHeight="true" outlineLevel="0" collapsed="false">
      <c r="A13" s="45" t="s">
        <v>73</v>
      </c>
      <c r="B13" s="45"/>
      <c r="C13" s="45" t="n">
        <v>3</v>
      </c>
      <c r="D13" s="45" t="n">
        <v>2</v>
      </c>
      <c r="E13" s="45" t="n">
        <v>2000</v>
      </c>
      <c r="F13" s="46" t="n">
        <v>4</v>
      </c>
      <c r="G13" s="46" t="n">
        <v>2</v>
      </c>
      <c r="H13" s="46" t="n">
        <v>2000</v>
      </c>
      <c r="I13" s="46" t="n">
        <v>10000</v>
      </c>
      <c r="J13" s="46" t="s">
        <v>74</v>
      </c>
      <c r="K13" s="46" t="s">
        <v>43</v>
      </c>
      <c r="L13" s="46" t="s">
        <v>44</v>
      </c>
      <c r="M13" s="46" t="str">
        <f aca="false">_xlfn.CONCAT(A13, ";", B13, ";", C13, ";", D13, ";", E13, ";", F13, ";", G13, ";", H13, ";", I13, ";", J13, ";", K13)</f>
        <v>P1;;3;2;2000;4;2;2000;10000;100g Packets;S3</v>
      </c>
      <c r="N13" s="45" t="s">
        <v>75</v>
      </c>
      <c r="O13" s="45"/>
      <c r="P13" s="45"/>
      <c r="Q13" s="45"/>
      <c r="R13" s="45"/>
      <c r="S13" s="45"/>
      <c r="T13" s="45"/>
      <c r="U13" s="45"/>
      <c r="V13" s="45"/>
    </row>
    <row r="14" s="16" customFormat="true" ht="21" hidden="false" customHeight="true" outlineLevel="0" collapsed="false">
      <c r="A14" s="45" t="s">
        <v>73</v>
      </c>
      <c r="B14" s="45" t="s">
        <v>76</v>
      </c>
      <c r="C14" s="45"/>
      <c r="D14" s="45"/>
      <c r="E14" s="45"/>
      <c r="F14" s="46"/>
      <c r="G14" s="46"/>
      <c r="H14" s="46"/>
      <c r="I14" s="46"/>
      <c r="J14" s="46"/>
      <c r="K14" s="46" t="s">
        <v>43</v>
      </c>
      <c r="L14" s="46" t="s">
        <v>44</v>
      </c>
      <c r="M14" s="46" t="str">
        <f aca="false">_xlfn.CONCAT(A14, ";", B14, ";", C14, ";", D14, ";", E14, ";", F14, ";", G14, ";", H14, ";", I14, ";", J14, ";", K14)</f>
        <v>P1;MissingLotInfo;;;;;;;;;S3</v>
      </c>
      <c r="N14" s="45" t="s">
        <v>77</v>
      </c>
      <c r="O14" s="45"/>
      <c r="P14" s="45"/>
      <c r="Q14" s="45"/>
      <c r="R14" s="45"/>
      <c r="S14" s="45"/>
      <c r="T14" s="45"/>
      <c r="U14" s="45"/>
      <c r="V14" s="45"/>
    </row>
    <row r="15" s="16" customFormat="true" ht="21" hidden="false" customHeight="true" outlineLevel="0" collapsed="false">
      <c r="A15" s="45" t="s">
        <v>73</v>
      </c>
      <c r="B15" s="45" t="s">
        <v>78</v>
      </c>
      <c r="C15" s="45"/>
      <c r="D15" s="45"/>
      <c r="E15" s="45"/>
      <c r="F15" s="46"/>
      <c r="G15" s="46"/>
      <c r="H15" s="46"/>
      <c r="I15" s="46"/>
      <c r="J15" s="46"/>
      <c r="K15" s="46" t="s">
        <v>43</v>
      </c>
      <c r="L15" s="46" t="s">
        <v>44</v>
      </c>
      <c r="M15" s="46" t="str">
        <f aca="false">_xlfn.CONCAT(A15, ";", B15, ";", C15, ";", D15, ";", E15, ";", F15, ";", G15, ";", H15, ";", I15, ";", J15, ";", K15)</f>
        <v>P1;DuplicateLotInfo;;;;;;;;;S3</v>
      </c>
      <c r="N15" s="45" t="s">
        <v>79</v>
      </c>
      <c r="O15" s="45"/>
      <c r="P15" s="45"/>
      <c r="Q15" s="45"/>
      <c r="R15" s="45"/>
      <c r="S15" s="45"/>
      <c r="T15" s="45"/>
      <c r="U15" s="45"/>
      <c r="V15" s="45"/>
    </row>
    <row r="16" s="16" customFormat="true" ht="21" hidden="false" customHeight="true" outlineLevel="0" collapsed="false">
      <c r="A16" s="45" t="s">
        <v>73</v>
      </c>
      <c r="B16" s="45" t="s">
        <v>80</v>
      </c>
      <c r="C16" s="45"/>
      <c r="D16" s="45"/>
      <c r="E16" s="45"/>
      <c r="F16" s="46"/>
      <c r="G16" s="46"/>
      <c r="H16" s="46"/>
      <c r="I16" s="46"/>
      <c r="J16" s="46"/>
      <c r="K16" s="46"/>
      <c r="L16" s="46"/>
      <c r="M16" s="46" t="str">
        <f aca="false">_xlfn.CONCAT(A16, ";", B16, ";", C16, ";", D16, ";", E16, ";", F16, ";", G16, ";", H16, ";", I16, ";", J16, ";", K16)</f>
        <v>P1;L1;;;;;;;;;</v>
      </c>
      <c r="N16" s="45" t="s">
        <v>81</v>
      </c>
      <c r="O16" s="45"/>
      <c r="P16" s="45"/>
      <c r="Q16" s="45"/>
      <c r="R16" s="45"/>
      <c r="S16" s="45"/>
      <c r="T16" s="45"/>
      <c r="U16" s="45"/>
      <c r="V16" s="45"/>
    </row>
    <row r="17" s="16" customFormat="true" ht="21" hidden="false" customHeight="true" outlineLevel="0" collapsed="false">
      <c r="A17" s="45" t="s">
        <v>73</v>
      </c>
      <c r="B17" s="45" t="s">
        <v>80</v>
      </c>
      <c r="C17" s="45"/>
      <c r="D17" s="45"/>
      <c r="E17" s="45"/>
      <c r="F17" s="46"/>
      <c r="G17" s="46"/>
      <c r="H17" s="46"/>
      <c r="I17" s="46"/>
      <c r="J17" s="46"/>
      <c r="K17" s="46" t="s">
        <v>82</v>
      </c>
      <c r="L17" s="46" t="s">
        <v>83</v>
      </c>
      <c r="M17" s="46" t="str">
        <f aca="false">_xlfn.CONCAT(A17, ";", B17, ";", C17, ";", D17, ";", E17, ";", F17, ";", G17, ";", H17, ";", I17, ";", J17, ";", K17)</f>
        <v>P1;L1;;;;;;;;;Sunknown</v>
      </c>
      <c r="N17" s="45" t="s">
        <v>84</v>
      </c>
      <c r="O17" s="45"/>
      <c r="P17" s="45"/>
      <c r="Q17" s="45"/>
      <c r="R17" s="45"/>
      <c r="S17" s="45"/>
      <c r="T17" s="45"/>
      <c r="U17" s="45"/>
      <c r="V17" s="45"/>
    </row>
    <row r="18" s="16" customFormat="true" ht="21" hidden="false" customHeight="true" outlineLevel="0" collapsed="false">
      <c r="A18" s="45" t="s">
        <v>73</v>
      </c>
      <c r="B18" s="45" t="s">
        <v>85</v>
      </c>
      <c r="C18" s="45"/>
      <c r="D18" s="45"/>
      <c r="E18" s="45"/>
      <c r="F18" s="46"/>
      <c r="G18" s="46"/>
      <c r="H18" s="46"/>
      <c r="I18" s="46"/>
      <c r="J18" s="46" t="s">
        <v>86</v>
      </c>
      <c r="K18" s="46" t="s">
        <v>43</v>
      </c>
      <c r="L18" s="46" t="s">
        <v>44</v>
      </c>
      <c r="M18" s="46" t="str">
        <f aca="false">_xlfn.CONCAT(A18, ";", B18, ";", C18, ";", D18, ";", E18, ";", F18, ";", G18, ";", H18, ";", I18, ";", J18, ";", K18)</f>
        <v>P1;LY;;;;;;;;1kg;S3</v>
      </c>
      <c r="N18" s="45" t="s">
        <v>87</v>
      </c>
      <c r="O18" s="45"/>
      <c r="P18" s="45"/>
      <c r="Q18" s="45"/>
      <c r="R18" s="45"/>
      <c r="S18" s="45"/>
      <c r="T18" s="45"/>
      <c r="U18" s="45"/>
      <c r="V18" s="45"/>
    </row>
    <row r="19" s="16" customFormat="true" ht="21" hidden="false" customHeight="true" outlineLevel="0" collapsed="false">
      <c r="A19" s="45" t="s">
        <v>73</v>
      </c>
      <c r="B19" s="45" t="s">
        <v>80</v>
      </c>
      <c r="C19" s="45" t="s">
        <v>51</v>
      </c>
      <c r="D19" s="45" t="n">
        <v>2</v>
      </c>
      <c r="E19" s="45" t="n">
        <v>2000</v>
      </c>
      <c r="F19" s="46"/>
      <c r="G19" s="46"/>
      <c r="H19" s="46"/>
      <c r="I19" s="46"/>
      <c r="J19" s="46"/>
      <c r="K19" s="46" t="s">
        <v>43</v>
      </c>
      <c r="L19" s="46" t="s">
        <v>44</v>
      </c>
      <c r="M19" s="46" t="str">
        <f aca="false">_xlfn.CONCAT(A19, ";", B19, ";", C19, ";", D19, ";", E19, ";", F19, ";", G19, ";", H19, ";", I19, ";", J19, ";", K19)</f>
        <v>P1;L1;Montag;2;2000;;;;;;S3</v>
      </c>
      <c r="N19" s="45" t="s">
        <v>88</v>
      </c>
      <c r="O19" s="45"/>
      <c r="P19" s="45"/>
      <c r="Q19" s="45"/>
      <c r="R19" s="45"/>
      <c r="S19" s="45"/>
      <c r="T19" s="45"/>
      <c r="U19" s="45"/>
      <c r="V19" s="45"/>
    </row>
    <row r="20" s="16" customFormat="true" ht="21" hidden="false" customHeight="true" outlineLevel="0" collapsed="false">
      <c r="A20" s="45" t="s">
        <v>73</v>
      </c>
      <c r="B20" s="45" t="s">
        <v>80</v>
      </c>
      <c r="C20" s="45" t="n">
        <v>40</v>
      </c>
      <c r="D20" s="45" t="n">
        <v>2</v>
      </c>
      <c r="E20" s="45" t="n">
        <v>2000</v>
      </c>
      <c r="F20" s="46"/>
      <c r="G20" s="46"/>
      <c r="H20" s="46"/>
      <c r="I20" s="46"/>
      <c r="J20" s="46"/>
      <c r="K20" s="46" t="s">
        <v>43</v>
      </c>
      <c r="L20" s="46" t="s">
        <v>44</v>
      </c>
      <c r="M20" s="46" t="str">
        <f aca="false">_xlfn.CONCAT(A20, ";", B20, ";", C20, ";", D20, ";", E20, ";", F20, ";", G20, ";", H20, ";", I20, ";", J20, ";", K20)</f>
        <v>P1;L1;40;2;2000;;;;;;S3</v>
      </c>
      <c r="N20" s="45" t="s">
        <v>89</v>
      </c>
      <c r="O20" s="45"/>
      <c r="P20" s="45"/>
      <c r="Q20" s="45"/>
      <c r="R20" s="45"/>
      <c r="S20" s="45"/>
      <c r="T20" s="45"/>
      <c r="U20" s="45"/>
      <c r="V20" s="45"/>
    </row>
    <row r="21" s="16" customFormat="true" ht="21" hidden="false" customHeight="true" outlineLevel="0" collapsed="false">
      <c r="A21" s="45" t="s">
        <v>73</v>
      </c>
      <c r="B21" s="45" t="s">
        <v>80</v>
      </c>
      <c r="C21" s="45"/>
      <c r="D21" s="45" t="n">
        <v>2</v>
      </c>
      <c r="E21" s="45" t="n">
        <v>2000</v>
      </c>
      <c r="F21" s="46"/>
      <c r="G21" s="46"/>
      <c r="H21" s="46"/>
      <c r="I21" s="46"/>
      <c r="J21" s="46"/>
      <c r="K21" s="46" t="s">
        <v>43</v>
      </c>
      <c r="L21" s="46" t="s">
        <v>44</v>
      </c>
      <c r="M21" s="46" t="str">
        <f aca="false">_xlfn.CONCAT(A21, ";", B21, ";", C21, ";", D21, ";", E21, ";", F21, ";", G21, ";", H21, ";", I21, ";", J21, ";", K21)</f>
        <v>P1;L1;;2;2000;;;;;;S3</v>
      </c>
      <c r="N21" s="45" t="s">
        <v>90</v>
      </c>
      <c r="O21" s="45"/>
      <c r="P21" s="45"/>
      <c r="Q21" s="45"/>
      <c r="R21" s="45"/>
      <c r="S21" s="45"/>
      <c r="T21" s="45"/>
      <c r="U21" s="45"/>
      <c r="V21" s="45"/>
    </row>
    <row r="22" s="16" customFormat="true" ht="21" hidden="false" customHeight="true" outlineLevel="0" collapsed="false">
      <c r="A22" s="45" t="s">
        <v>73</v>
      </c>
      <c r="B22" s="45" t="s">
        <v>80</v>
      </c>
      <c r="C22" s="45" t="n">
        <v>31</v>
      </c>
      <c r="D22" s="45" t="n">
        <v>2</v>
      </c>
      <c r="E22" s="45" t="n">
        <v>2000</v>
      </c>
      <c r="F22" s="46"/>
      <c r="G22" s="46"/>
      <c r="H22" s="46"/>
      <c r="I22" s="46"/>
      <c r="J22" s="46"/>
      <c r="K22" s="46" t="s">
        <v>43</v>
      </c>
      <c r="L22" s="46" t="s">
        <v>44</v>
      </c>
      <c r="M22" s="46" t="str">
        <f aca="false">_xlfn.CONCAT(A22, ";", B22, ";", C22, ";", D22, ";", E22, ";", F22, ";", G22, ";", H22, ";", I22, ";", J22, ";", K22)</f>
        <v>P1;L1;31;2;2000;;;;;;S3</v>
      </c>
      <c r="N22" s="45" t="s">
        <v>91</v>
      </c>
      <c r="O22" s="45"/>
      <c r="P22" s="45"/>
      <c r="Q22" s="45"/>
      <c r="R22" s="45"/>
      <c r="S22" s="45"/>
      <c r="T22" s="45"/>
      <c r="U22" s="45"/>
      <c r="V22" s="45"/>
    </row>
    <row r="23" s="16" customFormat="true" ht="21" hidden="false" customHeight="true" outlineLevel="0" collapsed="false">
      <c r="A23" s="45" t="s">
        <v>73</v>
      </c>
      <c r="B23" s="45" t="s">
        <v>80</v>
      </c>
      <c r="C23" s="45" t="n">
        <v>1</v>
      </c>
      <c r="D23" s="45" t="s">
        <v>92</v>
      </c>
      <c r="E23" s="45" t="n">
        <v>2000</v>
      </c>
      <c r="F23" s="46"/>
      <c r="G23" s="46"/>
      <c r="H23" s="46"/>
      <c r="I23" s="46"/>
      <c r="J23" s="46"/>
      <c r="K23" s="46" t="s">
        <v>43</v>
      </c>
      <c r="L23" s="46" t="s">
        <v>44</v>
      </c>
      <c r="M23" s="46" t="str">
        <f aca="false">_xlfn.CONCAT(A23, ";", B23, ";", C23, ";", D23, ";", E23, ";", F23, ";", G23, ";", H23, ";", I23, ";", J23, ";", K23)</f>
        <v>P1;L1;1;March;2000;;;;;;S3</v>
      </c>
      <c r="N23" s="45" t="s">
        <v>93</v>
      </c>
      <c r="O23" s="45"/>
      <c r="P23" s="45"/>
      <c r="Q23" s="45"/>
      <c r="R23" s="45"/>
      <c r="S23" s="45"/>
      <c r="T23" s="45"/>
      <c r="U23" s="45"/>
      <c r="V23" s="45"/>
    </row>
    <row r="24" s="16" customFormat="true" ht="21" hidden="false" customHeight="true" outlineLevel="0" collapsed="false">
      <c r="A24" s="45" t="s">
        <v>73</v>
      </c>
      <c r="B24" s="45" t="s">
        <v>80</v>
      </c>
      <c r="C24" s="45" t="n">
        <v>1</v>
      </c>
      <c r="D24" s="45" t="n">
        <v>13</v>
      </c>
      <c r="E24" s="45" t="n">
        <v>2000</v>
      </c>
      <c r="F24" s="46"/>
      <c r="G24" s="46"/>
      <c r="H24" s="46"/>
      <c r="I24" s="46"/>
      <c r="J24" s="46"/>
      <c r="K24" s="46" t="s">
        <v>43</v>
      </c>
      <c r="L24" s="46" t="s">
        <v>44</v>
      </c>
      <c r="M24" s="46" t="str">
        <f aca="false">_xlfn.CONCAT(A24, ";", B24, ";", C24, ";", D24, ";", E24, ";", F24, ";", G24, ";", H24, ";", I24, ";", J24, ";", K24)</f>
        <v>P1;L1;1;13;2000;;;;;;S3</v>
      </c>
      <c r="N24" s="45" t="s">
        <v>94</v>
      </c>
      <c r="O24" s="45"/>
      <c r="P24" s="45"/>
      <c r="Q24" s="45"/>
      <c r="R24" s="45"/>
      <c r="S24" s="45"/>
      <c r="T24" s="45"/>
      <c r="U24" s="45"/>
      <c r="V24" s="45"/>
    </row>
    <row r="25" s="16" customFormat="true" ht="21" hidden="false" customHeight="true" outlineLevel="0" collapsed="false">
      <c r="A25" s="45" t="s">
        <v>73</v>
      </c>
      <c r="B25" s="45" t="s">
        <v>80</v>
      </c>
      <c r="C25" s="45" t="n">
        <v>1</v>
      </c>
      <c r="D25" s="45"/>
      <c r="E25" s="45" t="n">
        <v>2000</v>
      </c>
      <c r="F25" s="46"/>
      <c r="G25" s="46"/>
      <c r="H25" s="46"/>
      <c r="I25" s="46"/>
      <c r="J25" s="46"/>
      <c r="K25" s="46" t="s">
        <v>43</v>
      </c>
      <c r="L25" s="46" t="s">
        <v>44</v>
      </c>
      <c r="M25" s="46" t="str">
        <f aca="false">_xlfn.CONCAT(A25, ";", B25, ";", C25, ";", D25, ";", E25, ";", F25, ";", G25, ";", H25, ";", I25, ";", J25, ";", K25)</f>
        <v>P1;L1;1;;2000;;;;;;S3</v>
      </c>
      <c r="N25" s="45" t="s">
        <v>95</v>
      </c>
      <c r="O25" s="45"/>
      <c r="P25" s="45"/>
      <c r="Q25" s="45"/>
      <c r="R25" s="45"/>
      <c r="S25" s="45"/>
      <c r="T25" s="45"/>
      <c r="U25" s="45"/>
      <c r="V25" s="45"/>
    </row>
    <row r="26" s="16" customFormat="true" ht="21" hidden="false" customHeight="true" outlineLevel="0" collapsed="false">
      <c r="A26" s="45" t="s">
        <v>73</v>
      </c>
      <c r="B26" s="45" t="s">
        <v>80</v>
      </c>
      <c r="C26" s="45" t="n">
        <v>1</v>
      </c>
      <c r="D26" s="45" t="n">
        <v>1</v>
      </c>
      <c r="E26" s="45" t="n">
        <v>25</v>
      </c>
      <c r="F26" s="46"/>
      <c r="G26" s="46"/>
      <c r="H26" s="46"/>
      <c r="I26" s="46"/>
      <c r="J26" s="46"/>
      <c r="K26" s="46" t="s">
        <v>43</v>
      </c>
      <c r="L26" s="46" t="s">
        <v>44</v>
      </c>
      <c r="M26" s="46" t="str">
        <f aca="false">_xlfn.CONCAT(A26, ";", B26, ";", C26, ";", D26, ";", E26, ";", F26, ";", G26, ";", H26, ";", I26, ";", J26, ";", K26)</f>
        <v>P1;L1;1;1;25;;;;;;S3</v>
      </c>
      <c r="N26" s="45" t="s">
        <v>96</v>
      </c>
      <c r="O26" s="45"/>
      <c r="P26" s="45"/>
      <c r="Q26" s="45"/>
      <c r="R26" s="45"/>
      <c r="S26" s="45"/>
      <c r="T26" s="45"/>
      <c r="U26" s="45"/>
      <c r="V26" s="45"/>
    </row>
    <row r="27" s="16" customFormat="true" ht="21" hidden="false" customHeight="true" outlineLevel="0" collapsed="false">
      <c r="A27" s="45" t="s">
        <v>73</v>
      </c>
      <c r="B27" s="45" t="s">
        <v>80</v>
      </c>
      <c r="C27" s="45" t="n">
        <v>1</v>
      </c>
      <c r="D27" s="45" t="n">
        <v>1</v>
      </c>
      <c r="E27" s="45"/>
      <c r="F27" s="46"/>
      <c r="G27" s="46"/>
      <c r="H27" s="46"/>
      <c r="I27" s="46"/>
      <c r="J27" s="46"/>
      <c r="K27" s="46" t="s">
        <v>43</v>
      </c>
      <c r="L27" s="46" t="s">
        <v>44</v>
      </c>
      <c r="M27" s="46" t="str">
        <f aca="false">_xlfn.CONCAT(A27, ";", B27, ";", C27, ";", D27, ";", E27, ";", F27, ";", G27, ";", H27, ";", I27, ";", J27, ";", K27)</f>
        <v>P1;L1;1;1;;;;;;;S3</v>
      </c>
      <c r="N27" s="45" t="s">
        <v>97</v>
      </c>
      <c r="O27" s="45"/>
      <c r="P27" s="45"/>
      <c r="Q27" s="45"/>
      <c r="R27" s="45"/>
      <c r="S27" s="45"/>
      <c r="T27" s="45"/>
      <c r="U27" s="45"/>
      <c r="V27" s="45"/>
    </row>
    <row r="28" s="16" customFormat="true" ht="21" hidden="false" customHeight="true" outlineLevel="0" collapsed="false">
      <c r="A28" s="45" t="s">
        <v>73</v>
      </c>
      <c r="B28" s="45" t="s">
        <v>80</v>
      </c>
      <c r="C28" s="45"/>
      <c r="D28" s="45"/>
      <c r="E28" s="45"/>
      <c r="F28" s="46" t="s">
        <v>51</v>
      </c>
      <c r="G28" s="46" t="n">
        <v>2</v>
      </c>
      <c r="H28" s="46" t="n">
        <v>2000</v>
      </c>
      <c r="I28" s="46"/>
      <c r="J28" s="46"/>
      <c r="K28" s="46" t="s">
        <v>43</v>
      </c>
      <c r="L28" s="46" t="s">
        <v>44</v>
      </c>
      <c r="M28" s="46" t="str">
        <f aca="false">_xlfn.CONCAT(A28, ";", B28, ";", C28, ";", D28, ";", E28, ";", F28, ";", G28, ";", H28, ";", I28, ";", J28, ";", K28)</f>
        <v>P1;L1;;;;Montag;2;2000;;;S3</v>
      </c>
      <c r="N28" s="45" t="s">
        <v>98</v>
      </c>
      <c r="O28" s="45"/>
      <c r="P28" s="45"/>
      <c r="Q28" s="45"/>
      <c r="R28" s="45"/>
      <c r="S28" s="45"/>
      <c r="T28" s="45"/>
      <c r="U28" s="45"/>
      <c r="V28" s="45"/>
    </row>
    <row r="29" s="16" customFormat="true" ht="21" hidden="false" customHeight="true" outlineLevel="0" collapsed="false">
      <c r="A29" s="45" t="s">
        <v>73</v>
      </c>
      <c r="B29" s="45" t="s">
        <v>80</v>
      </c>
      <c r="C29" s="45"/>
      <c r="D29" s="45"/>
      <c r="E29" s="45"/>
      <c r="F29" s="46" t="n">
        <v>40</v>
      </c>
      <c r="G29" s="46" t="n">
        <v>2</v>
      </c>
      <c r="H29" s="46" t="n">
        <v>2000</v>
      </c>
      <c r="I29" s="46"/>
      <c r="J29" s="46"/>
      <c r="K29" s="46" t="s">
        <v>43</v>
      </c>
      <c r="L29" s="46" t="s">
        <v>44</v>
      </c>
      <c r="M29" s="46" t="str">
        <f aca="false">_xlfn.CONCAT(A29, ";", B29, ";", C29, ";", D29, ";", E29, ";", F29, ";", G29, ";", H29, ";", I29, ";", J29, ";", K29)</f>
        <v>P1;L1;;;;40;2;2000;;;S3</v>
      </c>
      <c r="N29" s="45" t="s">
        <v>99</v>
      </c>
      <c r="O29" s="45"/>
      <c r="P29" s="45"/>
      <c r="Q29" s="45"/>
      <c r="R29" s="45"/>
      <c r="S29" s="45"/>
      <c r="T29" s="45"/>
      <c r="U29" s="45"/>
      <c r="V29" s="45"/>
    </row>
    <row r="30" s="16" customFormat="true" ht="21" hidden="false" customHeight="true" outlineLevel="0" collapsed="false">
      <c r="A30" s="45" t="s">
        <v>73</v>
      </c>
      <c r="B30" s="45" t="s">
        <v>80</v>
      </c>
      <c r="C30" s="45"/>
      <c r="D30" s="45"/>
      <c r="E30" s="45"/>
      <c r="F30" s="46"/>
      <c r="G30" s="46" t="n">
        <v>2</v>
      </c>
      <c r="H30" s="46" t="n">
        <v>2000</v>
      </c>
      <c r="I30" s="46"/>
      <c r="J30" s="46"/>
      <c r="K30" s="46" t="s">
        <v>43</v>
      </c>
      <c r="L30" s="46" t="s">
        <v>44</v>
      </c>
      <c r="M30" s="46" t="str">
        <f aca="false">_xlfn.CONCAT(A30, ";", B30, ";", C30, ";", D30, ";", E30, ";", F30, ";", G30, ";", H30, ";", I30, ";", J30, ";", K30)</f>
        <v>P1;L1;;;;;2;2000;;;S3</v>
      </c>
      <c r="N30" s="45" t="s">
        <v>100</v>
      </c>
      <c r="O30" s="45"/>
      <c r="P30" s="45"/>
      <c r="Q30" s="45"/>
      <c r="R30" s="45"/>
      <c r="S30" s="45"/>
      <c r="T30" s="45"/>
      <c r="U30" s="45"/>
      <c r="V30" s="45"/>
    </row>
    <row r="31" s="16" customFormat="true" ht="21" hidden="false" customHeight="true" outlineLevel="0" collapsed="false">
      <c r="A31" s="45" t="s">
        <v>73</v>
      </c>
      <c r="B31" s="45" t="s">
        <v>80</v>
      </c>
      <c r="C31" s="45"/>
      <c r="D31" s="45"/>
      <c r="E31" s="45"/>
      <c r="F31" s="46" t="n">
        <v>31</v>
      </c>
      <c r="G31" s="46" t="n">
        <v>2</v>
      </c>
      <c r="H31" s="46" t="n">
        <v>2000</v>
      </c>
      <c r="I31" s="46"/>
      <c r="J31" s="46"/>
      <c r="K31" s="46" t="s">
        <v>43</v>
      </c>
      <c r="L31" s="46" t="s">
        <v>44</v>
      </c>
      <c r="M31" s="46" t="str">
        <f aca="false">_xlfn.CONCAT(A31, ";", B31, ";", C31, ";", D31, ";", E31, ";", F31, ";", G31, ";", H31, ";", I31, ";", J31, ";", K31)</f>
        <v>P1;L1;;;;31;2;2000;;;S3</v>
      </c>
      <c r="N31" s="45" t="s">
        <v>101</v>
      </c>
      <c r="O31" s="45"/>
      <c r="P31" s="45"/>
      <c r="Q31" s="45"/>
      <c r="R31" s="45"/>
      <c r="S31" s="45"/>
      <c r="T31" s="45"/>
      <c r="U31" s="45"/>
      <c r="V31" s="45"/>
    </row>
    <row r="32" s="16" customFormat="true" ht="21" hidden="false" customHeight="true" outlineLevel="0" collapsed="false">
      <c r="A32" s="45" t="s">
        <v>73</v>
      </c>
      <c r="B32" s="45" t="s">
        <v>80</v>
      </c>
      <c r="C32" s="45"/>
      <c r="D32" s="45"/>
      <c r="E32" s="45"/>
      <c r="F32" s="46" t="n">
        <v>1</v>
      </c>
      <c r="G32" s="46" t="s">
        <v>92</v>
      </c>
      <c r="H32" s="46" t="n">
        <v>2000</v>
      </c>
      <c r="I32" s="46"/>
      <c r="J32" s="46"/>
      <c r="K32" s="46" t="s">
        <v>43</v>
      </c>
      <c r="L32" s="46" t="s">
        <v>44</v>
      </c>
      <c r="M32" s="46" t="str">
        <f aca="false">_xlfn.CONCAT(A32, ";", B32, ";", C32, ";", D32, ";", E32, ";", F32, ";", G32, ";", H32, ";", I32, ";", J32, ";", K32)</f>
        <v>P1;L1;;;;1;March;2000;;;S3</v>
      </c>
      <c r="N32" s="45" t="s">
        <v>102</v>
      </c>
      <c r="O32" s="45"/>
      <c r="P32" s="45"/>
      <c r="Q32" s="45"/>
      <c r="R32" s="45"/>
      <c r="S32" s="45"/>
      <c r="T32" s="45"/>
      <c r="U32" s="45"/>
      <c r="V32" s="45"/>
    </row>
    <row r="33" s="16" customFormat="true" ht="21" hidden="false" customHeight="true" outlineLevel="0" collapsed="false">
      <c r="A33" s="45" t="s">
        <v>73</v>
      </c>
      <c r="B33" s="45" t="s">
        <v>80</v>
      </c>
      <c r="C33" s="45"/>
      <c r="D33" s="45"/>
      <c r="E33" s="45"/>
      <c r="F33" s="46" t="n">
        <v>1</v>
      </c>
      <c r="G33" s="46" t="n">
        <v>13</v>
      </c>
      <c r="H33" s="46" t="n">
        <v>2000</v>
      </c>
      <c r="I33" s="46"/>
      <c r="J33" s="46"/>
      <c r="K33" s="46" t="s">
        <v>43</v>
      </c>
      <c r="L33" s="46" t="s">
        <v>44</v>
      </c>
      <c r="M33" s="46" t="str">
        <f aca="false">_xlfn.CONCAT(A33, ";", B33, ";", C33, ";", D33, ";", E33, ";", F33, ";", G33, ";", H33, ";", I33, ";", J33, ";", K33)</f>
        <v>P1;L1;;;;1;13;2000;;;S3</v>
      </c>
      <c r="N33" s="45" t="s">
        <v>103</v>
      </c>
      <c r="O33" s="45"/>
      <c r="P33" s="45"/>
      <c r="Q33" s="45"/>
      <c r="R33" s="45"/>
      <c r="S33" s="45"/>
      <c r="T33" s="45"/>
      <c r="U33" s="45"/>
      <c r="V33" s="45"/>
    </row>
    <row r="34" s="16" customFormat="true" ht="21" hidden="false" customHeight="true" outlineLevel="0" collapsed="false">
      <c r="A34" s="45" t="s">
        <v>73</v>
      </c>
      <c r="B34" s="45" t="s">
        <v>80</v>
      </c>
      <c r="C34" s="45"/>
      <c r="D34" s="45"/>
      <c r="E34" s="45"/>
      <c r="F34" s="46" t="n">
        <v>1</v>
      </c>
      <c r="G34" s="46"/>
      <c r="H34" s="46" t="n">
        <v>2000</v>
      </c>
      <c r="I34" s="46"/>
      <c r="J34" s="46"/>
      <c r="K34" s="46" t="s">
        <v>43</v>
      </c>
      <c r="L34" s="46" t="s">
        <v>44</v>
      </c>
      <c r="M34" s="46" t="str">
        <f aca="false">_xlfn.CONCAT(A34, ";", B34, ";", C34, ";", D34, ";", E34, ";", F34, ";", G34, ";", H34, ";", I34, ";", J34, ";", K34)</f>
        <v>P1;L1;;;;1;;2000;;;S3</v>
      </c>
      <c r="N34" s="45" t="s">
        <v>104</v>
      </c>
      <c r="O34" s="45"/>
      <c r="P34" s="45"/>
      <c r="Q34" s="45"/>
      <c r="R34" s="45"/>
      <c r="S34" s="45"/>
      <c r="T34" s="45"/>
      <c r="U34" s="45"/>
      <c r="V34" s="45"/>
    </row>
    <row r="35" s="16" customFormat="true" ht="21" hidden="false" customHeight="true" outlineLevel="0" collapsed="false">
      <c r="A35" s="45" t="s">
        <v>73</v>
      </c>
      <c r="B35" s="45" t="s">
        <v>80</v>
      </c>
      <c r="C35" s="45"/>
      <c r="D35" s="45"/>
      <c r="E35" s="45"/>
      <c r="F35" s="46" t="n">
        <v>1</v>
      </c>
      <c r="G35" s="46" t="n">
        <v>1</v>
      </c>
      <c r="H35" s="46" t="n">
        <v>25</v>
      </c>
      <c r="I35" s="46"/>
      <c r="J35" s="46"/>
      <c r="K35" s="46" t="s">
        <v>43</v>
      </c>
      <c r="L35" s="46" t="s">
        <v>44</v>
      </c>
      <c r="M35" s="46" t="str">
        <f aca="false">_xlfn.CONCAT(A35, ";", B35, ";", C35, ";", D35, ";", E35, ";", F35, ";", G35, ";", H35, ";", I35, ";", J35, ";", K35)</f>
        <v>P1;L1;;;;1;1;25;;;S3</v>
      </c>
      <c r="N35" s="45" t="s">
        <v>105</v>
      </c>
      <c r="O35" s="45"/>
      <c r="P35" s="45"/>
      <c r="Q35" s="45"/>
      <c r="R35" s="45"/>
      <c r="S35" s="45"/>
      <c r="T35" s="45"/>
      <c r="U35" s="45"/>
      <c r="V35" s="45"/>
    </row>
    <row r="36" s="16" customFormat="true" ht="21" hidden="false" customHeight="true" outlineLevel="0" collapsed="false">
      <c r="A36" s="45" t="s">
        <v>73</v>
      </c>
      <c r="B36" s="45" t="s">
        <v>80</v>
      </c>
      <c r="C36" s="45"/>
      <c r="D36" s="45"/>
      <c r="E36" s="45"/>
      <c r="F36" s="46" t="n">
        <v>1</v>
      </c>
      <c r="G36" s="46" t="n">
        <v>1</v>
      </c>
      <c r="H36" s="46"/>
      <c r="I36" s="46"/>
      <c r="J36" s="46"/>
      <c r="K36" s="46" t="s">
        <v>43</v>
      </c>
      <c r="L36" s="46" t="s">
        <v>44</v>
      </c>
      <c r="M36" s="46" t="str">
        <f aca="false">_xlfn.CONCAT(A36, ";", B36, ";", C36, ";", D36, ";", E36, ";", F36, ";", G36, ";", H36, ";", I36, ";", J36, ";", K36)</f>
        <v>P1;L1;;;;1;1;;;;S3</v>
      </c>
      <c r="N36" s="45" t="s">
        <v>106</v>
      </c>
      <c r="O36" s="45"/>
      <c r="P36" s="45"/>
      <c r="Q36" s="45"/>
      <c r="R36" s="45"/>
      <c r="S36" s="45"/>
      <c r="T36" s="45"/>
      <c r="U36" s="45"/>
      <c r="V36" s="45"/>
    </row>
    <row r="37" s="16" customFormat="true" ht="21" hidden="false" customHeight="true" outlineLevel="0" collapsed="false">
      <c r="A37" s="45" t="s">
        <v>73</v>
      </c>
      <c r="B37" s="45" t="s">
        <v>80</v>
      </c>
      <c r="C37" s="45" t="n">
        <v>3</v>
      </c>
      <c r="D37" s="45" t="n">
        <v>2</v>
      </c>
      <c r="E37" s="45" t="n">
        <v>2000</v>
      </c>
      <c r="F37" s="46" t="n">
        <v>2</v>
      </c>
      <c r="G37" s="46" t="n">
        <v>2</v>
      </c>
      <c r="H37" s="46" t="n">
        <v>2000</v>
      </c>
      <c r="I37" s="46"/>
      <c r="J37" s="46"/>
      <c r="K37" s="46" t="s">
        <v>43</v>
      </c>
      <c r="L37" s="46" t="s">
        <v>44</v>
      </c>
      <c r="M37" s="46" t="str">
        <f aca="false">_xlfn.CONCAT(A37, ";", B37, ";", C37, ";", D37, ";", E37, ";", F37, ";", G37, ";", H37, ";", I37, ";", J37, ";", K37)</f>
        <v>P1;L1;3;2;2000;2;2;2000;;;S3</v>
      </c>
      <c r="N37" s="45" t="s">
        <v>107</v>
      </c>
      <c r="O37" s="45"/>
      <c r="P37" s="45"/>
      <c r="Q37" s="45"/>
      <c r="R37" s="45"/>
      <c r="S37" s="45"/>
      <c r="T37" s="45"/>
      <c r="U37" s="45"/>
      <c r="V37" s="45"/>
    </row>
    <row r="38" s="16" customFormat="true" ht="21" hidden="false" customHeight="true" outlineLevel="0" collapsed="false">
      <c r="A38" s="45" t="s">
        <v>73</v>
      </c>
      <c r="B38" s="45" t="s">
        <v>108</v>
      </c>
      <c r="C38" s="45"/>
      <c r="D38" s="45"/>
      <c r="E38" s="45"/>
      <c r="F38" s="46"/>
      <c r="G38" s="46"/>
      <c r="H38" s="46"/>
      <c r="I38" s="46"/>
      <c r="J38" s="46"/>
      <c r="K38" s="46" t="s">
        <v>43</v>
      </c>
      <c r="L38" s="46" t="s">
        <v>44</v>
      </c>
      <c r="M38" s="46" t="str">
        <f aca="false">_xlfn.CONCAT(A38, ";", B38, ";", C38, ";", D38, ";", E38, ";", F38, ";", G38, ";", H38, ";", I38, ";", J38, ";", K38)</f>
        <v>P1;Lok;;;;;;;;;S3</v>
      </c>
      <c r="N38" s="45" t="s">
        <v>40</v>
      </c>
      <c r="O38" s="45"/>
      <c r="P38" s="45"/>
      <c r="Q38" s="45"/>
      <c r="R38" s="45"/>
      <c r="S38" s="45"/>
      <c r="T38" s="45"/>
      <c r="U38" s="45"/>
      <c r="V38" s="45"/>
    </row>
    <row r="39" s="16" customFormat="true" ht="21" hidden="false" customHeight="true" outlineLevel="0" collapsed="false">
      <c r="A39" s="45" t="s">
        <v>73</v>
      </c>
      <c r="B39" s="45" t="s">
        <v>109</v>
      </c>
      <c r="C39" s="45"/>
      <c r="D39" s="45"/>
      <c r="E39" s="45"/>
      <c r="F39" s="46"/>
      <c r="G39" s="46"/>
      <c r="H39" s="46"/>
      <c r="I39" s="46"/>
      <c r="J39" s="46"/>
      <c r="K39" s="46" t="s">
        <v>43</v>
      </c>
      <c r="L39" s="46" t="s">
        <v>44</v>
      </c>
      <c r="M39" s="46" t="str">
        <f aca="false">_xlfn.CONCAT(A39, ";", B39, ";", C39, ";", D39, ";", E39, ";", F39, ";", G39, ";", H39, ";", I39, ";", J39, ";", K39)</f>
        <v>P1;L36;;;;;;;;;S3</v>
      </c>
      <c r="N39" s="45" t="s">
        <v>110</v>
      </c>
      <c r="O39" s="45"/>
      <c r="P39" s="45"/>
      <c r="Q39" s="45"/>
      <c r="R39" s="45"/>
      <c r="S39" s="45"/>
      <c r="T39" s="45"/>
      <c r="U39" s="45"/>
      <c r="V39" s="45"/>
    </row>
    <row r="40" customFormat="false" ht="21" hidden="false" customHeight="true" outlineLevel="0" collapsed="false">
      <c r="A40" s="47"/>
      <c r="B40" s="16"/>
      <c r="C40" s="16"/>
      <c r="D40" s="16"/>
      <c r="E40" s="16"/>
      <c r="F40" s="16"/>
      <c r="G40" s="16"/>
      <c r="H40" s="16"/>
      <c r="I40" s="16"/>
      <c r="J40" s="16"/>
      <c r="M40" s="16"/>
    </row>
    <row r="41" s="13" customFormat="true" ht="21" hidden="false" customHeight="true" outlineLevel="0" collapsed="false">
      <c r="A41" s="48" t="s">
        <v>111</v>
      </c>
      <c r="B41" s="48"/>
      <c r="C41" s="48"/>
      <c r="D41" s="49"/>
      <c r="E41" s="49"/>
      <c r="F41" s="49"/>
      <c r="G41" s="49"/>
      <c r="H41" s="49"/>
      <c r="I41" s="49"/>
      <c r="J41" s="49"/>
      <c r="K41" s="49"/>
      <c r="L41" s="49"/>
      <c r="N41" s="50" t="s">
        <v>56</v>
      </c>
      <c r="O41" s="51"/>
      <c r="P41" s="51"/>
      <c r="Q41" s="51"/>
      <c r="R41" s="51"/>
      <c r="S41" s="51"/>
      <c r="T41" s="51"/>
      <c r="U41" s="51"/>
      <c r="V41" s="52"/>
    </row>
    <row r="42" s="13" customFormat="true" ht="18" hidden="false" customHeight="true" outlineLevel="0" collapsed="false">
      <c r="A42" s="53" t="s">
        <v>112</v>
      </c>
      <c r="B42" s="54" t="s">
        <v>113</v>
      </c>
      <c r="C42" s="54"/>
      <c r="N42" s="55" t="s">
        <v>114</v>
      </c>
      <c r="O42" s="56" t="s">
        <v>115</v>
      </c>
      <c r="P42" s="56" t="s">
        <v>116</v>
      </c>
      <c r="Q42" s="57" t="s">
        <v>117</v>
      </c>
      <c r="R42" s="58" t="s">
        <v>11</v>
      </c>
      <c r="S42" s="58"/>
      <c r="T42" s="39"/>
      <c r="U42" s="40"/>
      <c r="V42" s="59"/>
    </row>
    <row r="43" s="13" customFormat="true" ht="17.25" hidden="false" customHeight="true" outlineLevel="0" collapsed="false">
      <c r="A43" s="53"/>
      <c r="B43" s="60" t="s">
        <v>65</v>
      </c>
      <c r="C43" s="54" t="s">
        <v>66</v>
      </c>
      <c r="N43" s="55"/>
      <c r="O43" s="56"/>
      <c r="P43" s="56"/>
      <c r="Q43" s="57"/>
      <c r="R43" s="58"/>
      <c r="S43" s="58"/>
      <c r="T43" s="58"/>
      <c r="U43" s="40"/>
      <c r="V43" s="59"/>
    </row>
    <row r="44" s="13" customFormat="true" ht="21" hidden="false" customHeight="true" outlineLevel="0" collapsed="false">
      <c r="A44" s="61" t="s">
        <v>70</v>
      </c>
      <c r="B44" s="62" t="n">
        <v>4</v>
      </c>
      <c r="C44" s="63"/>
      <c r="N44" s="62"/>
      <c r="O44" s="62"/>
      <c r="P44" s="62"/>
      <c r="Q44" s="62"/>
      <c r="R44" s="62" t="s">
        <v>118</v>
      </c>
      <c r="S44" s="62"/>
      <c r="T44" s="63"/>
      <c r="U44" s="64"/>
      <c r="V44" s="63"/>
    </row>
    <row r="45" s="13" customFormat="true" ht="21" hidden="false" customHeight="true" outlineLevel="0" collapsed="false">
      <c r="A45" s="61" t="s">
        <v>70</v>
      </c>
      <c r="B45" s="62" t="n">
        <v>5</v>
      </c>
      <c r="C45" s="63"/>
      <c r="N45" s="62"/>
      <c r="O45" s="62"/>
      <c r="P45" s="62"/>
      <c r="Q45" s="62"/>
      <c r="R45" s="62" t="s">
        <v>118</v>
      </c>
      <c r="S45" s="62"/>
      <c r="T45" s="63"/>
      <c r="U45" s="64"/>
      <c r="V45" s="63"/>
    </row>
    <row r="46" s="13" customFormat="true" ht="21" hidden="false" customHeight="true" outlineLevel="0" collapsed="false">
      <c r="A46" s="61"/>
      <c r="B46" s="62" t="n">
        <v>2</v>
      </c>
      <c r="C46" s="63" t="s">
        <v>119</v>
      </c>
      <c r="N46" s="62"/>
      <c r="O46" s="62"/>
      <c r="P46" s="62"/>
      <c r="Q46" s="62"/>
      <c r="R46" s="62" t="s">
        <v>120</v>
      </c>
      <c r="S46" s="62"/>
      <c r="T46" s="63"/>
      <c r="U46" s="64"/>
      <c r="V46" s="63"/>
    </row>
    <row r="47" s="13" customFormat="true" ht="21" hidden="false" customHeight="true" outlineLevel="0" collapsed="false">
      <c r="A47" s="61" t="s">
        <v>78</v>
      </c>
      <c r="B47" s="62" t="n">
        <v>4</v>
      </c>
      <c r="C47" s="63"/>
      <c r="N47" s="62"/>
      <c r="O47" s="62"/>
      <c r="P47" s="62"/>
      <c r="Q47" s="62"/>
      <c r="R47" s="62" t="s">
        <v>79</v>
      </c>
      <c r="S47" s="62"/>
      <c r="T47" s="63"/>
      <c r="U47" s="64"/>
      <c r="V47" s="63"/>
    </row>
    <row r="48" s="13" customFormat="true" ht="21" hidden="false" customHeight="true" outlineLevel="0" collapsed="false">
      <c r="A48" s="61" t="s">
        <v>78</v>
      </c>
      <c r="B48" s="62" t="n">
        <v>4</v>
      </c>
      <c r="C48" s="63"/>
      <c r="N48" s="62"/>
      <c r="O48" s="62"/>
      <c r="P48" s="62"/>
      <c r="Q48" s="62"/>
      <c r="R48" s="62" t="s">
        <v>79</v>
      </c>
      <c r="S48" s="62"/>
      <c r="T48" s="63"/>
      <c r="U48" s="64"/>
      <c r="V48" s="63"/>
    </row>
    <row r="49" s="13" customFormat="true" ht="21" hidden="false" customHeight="true" outlineLevel="0" collapsed="false">
      <c r="A49" s="61" t="s">
        <v>121</v>
      </c>
      <c r="B49" s="62"/>
      <c r="C49" s="63" t="s">
        <v>86</v>
      </c>
      <c r="N49" s="62"/>
      <c r="O49" s="62"/>
      <c r="P49" s="62"/>
      <c r="Q49" s="62"/>
      <c r="R49" s="62" t="s">
        <v>87</v>
      </c>
      <c r="S49" s="62"/>
      <c r="T49" s="63"/>
      <c r="U49" s="64"/>
      <c r="V49" s="63"/>
    </row>
    <row r="50" s="13" customFormat="true" ht="21" hidden="false" customHeight="true" outlineLevel="0" collapsed="false">
      <c r="A50" s="61" t="s">
        <v>122</v>
      </c>
      <c r="B50" s="62"/>
      <c r="C50" s="63"/>
      <c r="N50" s="65" t="s">
        <v>123</v>
      </c>
      <c r="O50" s="62"/>
      <c r="P50" s="62"/>
      <c r="Q50" s="62"/>
      <c r="R50" s="62" t="s">
        <v>124</v>
      </c>
      <c r="S50" s="62"/>
      <c r="T50" s="63"/>
      <c r="U50" s="64"/>
      <c r="V50" s="63"/>
    </row>
    <row r="51" s="13" customFormat="true" ht="21" hidden="false" customHeight="true" outlineLevel="0" collapsed="false">
      <c r="A51" s="61" t="s">
        <v>125</v>
      </c>
      <c r="B51" s="62"/>
      <c r="C51" s="63"/>
      <c r="N51" s="65"/>
      <c r="O51" s="62" t="s">
        <v>123</v>
      </c>
      <c r="P51" s="62"/>
      <c r="Q51" s="62"/>
      <c r="R51" s="62" t="s">
        <v>126</v>
      </c>
      <c r="S51" s="62"/>
      <c r="T51" s="63"/>
      <c r="U51" s="64"/>
      <c r="V51" s="63"/>
    </row>
    <row r="52" s="13" customFormat="true" ht="21" hidden="false" customHeight="true" outlineLevel="0" collapsed="false">
      <c r="A52" s="61" t="s">
        <v>80</v>
      </c>
      <c r="B52" s="62"/>
      <c r="C52" s="63"/>
      <c r="N52" s="62"/>
      <c r="O52" s="62"/>
      <c r="P52" s="62"/>
      <c r="Q52" s="62"/>
      <c r="R52" s="62" t="s">
        <v>40</v>
      </c>
      <c r="S52" s="62"/>
      <c r="T52" s="63"/>
      <c r="U52" s="64"/>
      <c r="V52" s="63"/>
    </row>
    <row r="53" s="13" customFormat="true" ht="21" hidden="false" customHeight="true" outlineLevel="0" collapsed="false">
      <c r="A53" s="61" t="s">
        <v>127</v>
      </c>
      <c r="B53" s="62"/>
      <c r="C53" s="63"/>
      <c r="N53" s="62"/>
      <c r="O53" s="62"/>
      <c r="P53" s="62"/>
      <c r="Q53" s="62"/>
      <c r="R53" s="62" t="s">
        <v>40</v>
      </c>
      <c r="S53" s="62"/>
      <c r="T53" s="63"/>
      <c r="U53" s="64"/>
      <c r="V53" s="63"/>
    </row>
    <row r="54" s="13" customFormat="true" ht="21" hidden="false" customHeight="true" outlineLevel="0" collapsed="false">
      <c r="A54" s="61" t="s">
        <v>85</v>
      </c>
      <c r="B54" s="62"/>
      <c r="C54" s="63"/>
      <c r="N54" s="62"/>
      <c r="O54" s="62"/>
      <c r="P54" s="62"/>
      <c r="Q54" s="62"/>
      <c r="R54" s="62" t="s">
        <v>40</v>
      </c>
      <c r="S54" s="62"/>
      <c r="T54" s="63"/>
      <c r="U54" s="64"/>
      <c r="V54" s="63"/>
    </row>
    <row r="55" s="13" customFormat="true" ht="21" hidden="false" customHeight="true" outlineLevel="0" collapsed="false">
      <c r="A55" s="61" t="s">
        <v>128</v>
      </c>
      <c r="B55" s="62" t="n">
        <v>5</v>
      </c>
      <c r="C55" s="63"/>
      <c r="N55" s="62"/>
      <c r="O55" s="62"/>
      <c r="P55" s="62"/>
      <c r="Q55" s="62"/>
      <c r="R55" s="62" t="s">
        <v>129</v>
      </c>
      <c r="S55" s="62"/>
      <c r="T55" s="63"/>
      <c r="U55" s="64"/>
      <c r="V55" s="63"/>
    </row>
    <row r="56" s="13" customFormat="true" ht="21" hidden="false" customHeight="true" outlineLevel="0" collapsed="false">
      <c r="A56" s="61" t="s">
        <v>67</v>
      </c>
      <c r="B56" s="62"/>
      <c r="C56" s="63"/>
      <c r="N56" s="62"/>
      <c r="O56" s="62"/>
      <c r="P56" s="62"/>
      <c r="Q56" s="62"/>
      <c r="R56" s="62" t="s">
        <v>130</v>
      </c>
      <c r="S56" s="62"/>
      <c r="T56" s="63"/>
      <c r="U56" s="64"/>
      <c r="V56" s="63"/>
    </row>
    <row r="57" customFormat="false" ht="21" hidden="false" customHeight="true" outlineLevel="0" collapsed="false">
      <c r="A57" s="16"/>
      <c r="B57" s="16"/>
      <c r="C57" s="16"/>
      <c r="D57" s="16"/>
      <c r="E57" s="16"/>
      <c r="F57" s="16"/>
      <c r="G57" s="16"/>
      <c r="H57" s="16"/>
      <c r="I57" s="16"/>
      <c r="K57" s="16"/>
      <c r="L57" s="16"/>
      <c r="M57" s="66"/>
    </row>
    <row r="58" customFormat="false" ht="21" hidden="false" customHeight="true" outlineLevel="0" collapsed="false">
      <c r="A58" s="67" t="s">
        <v>131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8"/>
      <c r="N58" s="69" t="s">
        <v>56</v>
      </c>
      <c r="O58" s="70"/>
      <c r="P58" s="70"/>
      <c r="Q58" s="70"/>
      <c r="R58" s="70"/>
      <c r="S58" s="70"/>
      <c r="T58" s="70"/>
      <c r="U58" s="70"/>
      <c r="V58" s="71"/>
    </row>
    <row r="59" s="78" customFormat="true" ht="25.5" hidden="false" customHeight="true" outlineLevel="0" collapsed="false">
      <c r="A59" s="72" t="s">
        <v>132</v>
      </c>
      <c r="B59" s="60" t="s">
        <v>133</v>
      </c>
      <c r="C59" s="60" t="s">
        <v>59</v>
      </c>
      <c r="D59" s="60"/>
      <c r="E59" s="60"/>
      <c r="F59" s="73" t="s">
        <v>134</v>
      </c>
      <c r="G59" s="73"/>
      <c r="H59" s="73"/>
      <c r="I59" s="60" t="s">
        <v>61</v>
      </c>
      <c r="J59" s="60"/>
      <c r="K59" s="60" t="s">
        <v>135</v>
      </c>
      <c r="L59" s="74" t="s">
        <v>135</v>
      </c>
      <c r="M59" s="60" t="s">
        <v>112</v>
      </c>
      <c r="N59" s="75" t="s">
        <v>11</v>
      </c>
      <c r="O59" s="76"/>
      <c r="P59" s="76"/>
      <c r="Q59" s="76"/>
      <c r="R59" s="76"/>
      <c r="S59" s="76"/>
      <c r="T59" s="76"/>
      <c r="U59" s="76"/>
      <c r="V59" s="77"/>
    </row>
    <row r="60" s="78" customFormat="true" ht="16.5" hidden="false" customHeight="true" outlineLevel="0" collapsed="false">
      <c r="A60" s="72"/>
      <c r="B60" s="60"/>
      <c r="C60" s="60" t="s">
        <v>64</v>
      </c>
      <c r="D60" s="60" t="s">
        <v>48</v>
      </c>
      <c r="E60" s="60" t="s">
        <v>49</v>
      </c>
      <c r="F60" s="73" t="s">
        <v>64</v>
      </c>
      <c r="G60" s="73" t="s">
        <v>48</v>
      </c>
      <c r="H60" s="73" t="s">
        <v>49</v>
      </c>
      <c r="I60" s="60" t="s">
        <v>65</v>
      </c>
      <c r="J60" s="60" t="s">
        <v>66</v>
      </c>
      <c r="K60" s="60"/>
      <c r="L60" s="74"/>
      <c r="M60" s="60"/>
      <c r="N60" s="75"/>
      <c r="O60" s="76"/>
      <c r="P60" s="76"/>
      <c r="Q60" s="76"/>
      <c r="R60" s="76"/>
      <c r="S60" s="76"/>
      <c r="T60" s="76"/>
      <c r="U60" s="76"/>
      <c r="V60" s="77"/>
    </row>
    <row r="61" customFormat="false" ht="21" hidden="false" customHeight="true" outlineLevel="0" collapsed="false">
      <c r="A61" s="79" t="str">
        <f aca="false">_xlfn.CONCAT("Zutat", ROW())</f>
        <v>Zutat61</v>
      </c>
      <c r="B61" s="62" t="str">
        <f aca="false">_xlfn.CONCAT("L",ROW())</f>
        <v>L61</v>
      </c>
      <c r="C61" s="62"/>
      <c r="D61" s="62"/>
      <c r="E61" s="62"/>
      <c r="F61" s="62"/>
      <c r="G61" s="62"/>
      <c r="H61" s="62"/>
      <c r="I61" s="62"/>
      <c r="J61" s="63"/>
      <c r="K61" s="63" t="s">
        <v>38</v>
      </c>
      <c r="L61" s="46" t="s">
        <v>39</v>
      </c>
      <c r="M61" s="63"/>
      <c r="N61" s="80" t="s">
        <v>136</v>
      </c>
      <c r="O61" s="61"/>
      <c r="P61" s="61"/>
      <c r="Q61" s="61"/>
      <c r="R61" s="61"/>
      <c r="S61" s="61"/>
      <c r="T61" s="61"/>
      <c r="U61" s="61"/>
      <c r="V61" s="81"/>
    </row>
    <row r="62" customFormat="false" ht="21" hidden="false" customHeight="true" outlineLevel="0" collapsed="false">
      <c r="A62" s="79" t="str">
        <f aca="false">_xlfn.CONCAT("Zutat", ROW())</f>
        <v>Zutat62</v>
      </c>
      <c r="B62" s="62" t="str">
        <f aca="false">_xlfn.CONCAT("L",ROW())</f>
        <v>L62</v>
      </c>
      <c r="C62" s="62"/>
      <c r="D62" s="62"/>
      <c r="E62" s="62"/>
      <c r="F62" s="62"/>
      <c r="G62" s="62"/>
      <c r="H62" s="62"/>
      <c r="I62" s="62"/>
      <c r="J62" s="63"/>
      <c r="K62" s="63" t="s">
        <v>38</v>
      </c>
      <c r="L62" s="46" t="s">
        <v>39</v>
      </c>
      <c r="M62" s="63" t="s">
        <v>137</v>
      </c>
      <c r="N62" s="80" t="s">
        <v>138</v>
      </c>
      <c r="O62" s="61"/>
      <c r="P62" s="61"/>
      <c r="Q62" s="61"/>
      <c r="R62" s="61"/>
      <c r="S62" s="61"/>
      <c r="T62" s="61"/>
      <c r="U62" s="61"/>
      <c r="V62" s="81"/>
    </row>
    <row r="63" customFormat="false" ht="21" hidden="false" customHeight="true" outlineLevel="0" collapsed="false">
      <c r="A63" s="82"/>
      <c r="B63" s="62" t="str">
        <f aca="false">_xlfn.CONCAT("L",ROW())</f>
        <v>L63</v>
      </c>
      <c r="C63" s="62"/>
      <c r="D63" s="62"/>
      <c r="E63" s="62"/>
      <c r="F63" s="62"/>
      <c r="G63" s="62"/>
      <c r="H63" s="62"/>
      <c r="I63" s="62"/>
      <c r="J63" s="63"/>
      <c r="K63" s="63" t="s">
        <v>38</v>
      </c>
      <c r="L63" s="46" t="s">
        <v>39</v>
      </c>
      <c r="M63" s="63" t="s">
        <v>80</v>
      </c>
      <c r="N63" s="80" t="s">
        <v>139</v>
      </c>
      <c r="O63" s="61"/>
      <c r="P63" s="61"/>
      <c r="Q63" s="61"/>
      <c r="R63" s="61"/>
      <c r="S63" s="61"/>
      <c r="T63" s="61"/>
      <c r="U63" s="61"/>
      <c r="V63" s="81"/>
    </row>
    <row r="64" customFormat="false" ht="21" hidden="false" customHeight="true" outlineLevel="0" collapsed="false">
      <c r="A64" s="79" t="str">
        <f aca="false">_xlfn.CONCAT("Zutat", ROW())</f>
        <v>Zutat64</v>
      </c>
      <c r="B64" s="63"/>
      <c r="C64" s="62"/>
      <c r="D64" s="62"/>
      <c r="E64" s="62"/>
      <c r="F64" s="62"/>
      <c r="G64" s="62"/>
      <c r="H64" s="62"/>
      <c r="I64" s="62"/>
      <c r="J64" s="63"/>
      <c r="K64" s="63" t="s">
        <v>38</v>
      </c>
      <c r="L64" s="46" t="s">
        <v>39</v>
      </c>
      <c r="M64" s="63" t="s">
        <v>80</v>
      </c>
      <c r="N64" s="80" t="s">
        <v>140</v>
      </c>
      <c r="O64" s="61"/>
      <c r="P64" s="61"/>
      <c r="Q64" s="61"/>
      <c r="R64" s="61"/>
      <c r="S64" s="61"/>
      <c r="T64" s="61"/>
      <c r="U64" s="61"/>
      <c r="V64" s="81"/>
    </row>
    <row r="65" customFormat="false" ht="21" hidden="false" customHeight="true" outlineLevel="0" collapsed="false">
      <c r="A65" s="79" t="str">
        <f aca="false">_xlfn.CONCAT("Zutat", ROW())</f>
        <v>Zutat65</v>
      </c>
      <c r="B65" s="62" t="str">
        <f aca="false">_xlfn.CONCAT("L",ROW())</f>
        <v>L65</v>
      </c>
      <c r="C65" s="62"/>
      <c r="D65" s="62"/>
      <c r="E65" s="62"/>
      <c r="F65" s="62"/>
      <c r="G65" s="62"/>
      <c r="H65" s="62"/>
      <c r="I65" s="62"/>
      <c r="J65" s="63"/>
      <c r="K65" s="63"/>
      <c r="L65" s="46"/>
      <c r="M65" s="63" t="s">
        <v>80</v>
      </c>
      <c r="N65" s="80" t="s">
        <v>141</v>
      </c>
      <c r="O65" s="61"/>
      <c r="P65" s="61"/>
      <c r="Q65" s="61"/>
      <c r="R65" s="61"/>
      <c r="S65" s="61"/>
      <c r="T65" s="61"/>
      <c r="U65" s="61"/>
      <c r="V65" s="81"/>
    </row>
    <row r="66" customFormat="false" ht="21" hidden="false" customHeight="true" outlineLevel="0" collapsed="false">
      <c r="A66" s="79" t="str">
        <f aca="false">_xlfn.CONCAT("Zutat", ROW())</f>
        <v>Zutat66</v>
      </c>
      <c r="B66" s="62" t="str">
        <f aca="false">_xlfn.CONCAT("L",ROW())</f>
        <v>L66</v>
      </c>
      <c r="C66" s="62"/>
      <c r="D66" s="62"/>
      <c r="E66" s="62"/>
      <c r="F66" s="62"/>
      <c r="G66" s="62"/>
      <c r="H66" s="62"/>
      <c r="I66" s="62"/>
      <c r="J66" s="63"/>
      <c r="K66" s="63" t="s">
        <v>82</v>
      </c>
      <c r="L66" s="46" t="s">
        <v>82</v>
      </c>
      <c r="M66" s="63" t="s">
        <v>80</v>
      </c>
      <c r="N66" s="80" t="s">
        <v>142</v>
      </c>
      <c r="O66" s="61"/>
      <c r="P66" s="61"/>
      <c r="Q66" s="61"/>
      <c r="R66" s="61"/>
      <c r="S66" s="61"/>
      <c r="T66" s="61"/>
      <c r="U66" s="61"/>
      <c r="V66" s="81"/>
    </row>
    <row r="67" customFormat="false" ht="21" hidden="false" customHeight="true" outlineLevel="0" collapsed="false">
      <c r="A67" s="79" t="str">
        <f aca="false">_xlfn.CONCAT("Zutat", ROW())</f>
        <v>Zutat67</v>
      </c>
      <c r="B67" s="62" t="str">
        <f aca="false">_xlfn.CONCAT("L",ROW())</f>
        <v>L67</v>
      </c>
      <c r="C67" s="62"/>
      <c r="D67" s="62"/>
      <c r="E67" s="62"/>
      <c r="F67" s="62"/>
      <c r="G67" s="62"/>
      <c r="H67" s="62"/>
      <c r="I67" s="62"/>
      <c r="J67" s="63" t="s">
        <v>86</v>
      </c>
      <c r="K67" s="63" t="s">
        <v>38</v>
      </c>
      <c r="L67" s="46" t="s">
        <v>39</v>
      </c>
      <c r="M67" s="63" t="s">
        <v>80</v>
      </c>
      <c r="N67" s="80" t="s">
        <v>87</v>
      </c>
      <c r="O67" s="61"/>
      <c r="P67" s="61"/>
      <c r="Q67" s="61"/>
      <c r="R67" s="61"/>
      <c r="S67" s="61"/>
      <c r="T67" s="61"/>
      <c r="U67" s="61"/>
      <c r="V67" s="81"/>
    </row>
    <row r="68" customFormat="false" ht="21" hidden="false" customHeight="true" outlineLevel="0" collapsed="false">
      <c r="A68" s="79" t="str">
        <f aca="false">_xlfn.CONCAT("Zutat", ROW())</f>
        <v>Zutat68</v>
      </c>
      <c r="B68" s="62" t="str">
        <f aca="false">_xlfn.CONCAT("L",ROW())</f>
        <v>L68</v>
      </c>
      <c r="C68" s="62" t="s">
        <v>143</v>
      </c>
      <c r="D68" s="62" t="n">
        <v>2</v>
      </c>
      <c r="E68" s="62" t="n">
        <v>2025</v>
      </c>
      <c r="F68" s="62"/>
      <c r="G68" s="62"/>
      <c r="H68" s="62"/>
      <c r="I68" s="62"/>
      <c r="J68" s="63"/>
      <c r="K68" s="63" t="s">
        <v>38</v>
      </c>
      <c r="L68" s="46" t="s">
        <v>39</v>
      </c>
      <c r="M68" s="63" t="s">
        <v>80</v>
      </c>
      <c r="N68" s="80" t="s">
        <v>88</v>
      </c>
      <c r="O68" s="61"/>
      <c r="P68" s="61"/>
      <c r="Q68" s="61"/>
      <c r="R68" s="61"/>
      <c r="S68" s="61"/>
      <c r="T68" s="61"/>
      <c r="U68" s="61"/>
      <c r="V68" s="81"/>
    </row>
    <row r="69" customFormat="false" ht="21" hidden="false" customHeight="true" outlineLevel="0" collapsed="false">
      <c r="A69" s="79" t="str">
        <f aca="false">_xlfn.CONCAT("Zutat", ROW())</f>
        <v>Zutat69</v>
      </c>
      <c r="B69" s="62" t="str">
        <f aca="false">_xlfn.CONCAT("L",ROW())</f>
        <v>L69</v>
      </c>
      <c r="C69" s="62" t="n">
        <v>32</v>
      </c>
      <c r="D69" s="62" t="n">
        <v>2</v>
      </c>
      <c r="E69" s="62" t="n">
        <v>2025</v>
      </c>
      <c r="F69" s="62"/>
      <c r="G69" s="62"/>
      <c r="H69" s="62"/>
      <c r="I69" s="62"/>
      <c r="J69" s="63"/>
      <c r="K69" s="63" t="s">
        <v>38</v>
      </c>
      <c r="L69" s="46" t="s">
        <v>39</v>
      </c>
      <c r="M69" s="63" t="s">
        <v>80</v>
      </c>
      <c r="N69" s="80" t="s">
        <v>89</v>
      </c>
      <c r="O69" s="61"/>
      <c r="P69" s="61"/>
      <c r="Q69" s="61"/>
      <c r="R69" s="61"/>
      <c r="S69" s="61"/>
      <c r="T69" s="61"/>
      <c r="U69" s="61"/>
      <c r="V69" s="81"/>
    </row>
    <row r="70" customFormat="false" ht="21" hidden="false" customHeight="true" outlineLevel="0" collapsed="false">
      <c r="A70" s="79" t="str">
        <f aca="false">_xlfn.CONCAT("Zutat", ROW())</f>
        <v>Zutat70</v>
      </c>
      <c r="B70" s="62" t="str">
        <f aca="false">_xlfn.CONCAT("L",ROW())</f>
        <v>L70</v>
      </c>
      <c r="C70" s="62"/>
      <c r="D70" s="62" t="n">
        <v>2</v>
      </c>
      <c r="E70" s="62" t="n">
        <v>2025</v>
      </c>
      <c r="F70" s="62"/>
      <c r="G70" s="62"/>
      <c r="H70" s="62"/>
      <c r="I70" s="62"/>
      <c r="J70" s="63"/>
      <c r="K70" s="63" t="s">
        <v>38</v>
      </c>
      <c r="L70" s="46" t="s">
        <v>39</v>
      </c>
      <c r="M70" s="63" t="s">
        <v>80</v>
      </c>
      <c r="N70" s="80" t="s">
        <v>90</v>
      </c>
      <c r="O70" s="61"/>
      <c r="P70" s="61"/>
      <c r="Q70" s="61"/>
      <c r="R70" s="61"/>
      <c r="S70" s="61"/>
      <c r="T70" s="61"/>
      <c r="U70" s="61"/>
      <c r="V70" s="81"/>
    </row>
    <row r="71" customFormat="false" ht="21" hidden="false" customHeight="true" outlineLevel="0" collapsed="false">
      <c r="A71" s="79" t="str">
        <f aca="false">_xlfn.CONCAT("Zutat", ROW())</f>
        <v>Zutat71</v>
      </c>
      <c r="B71" s="62" t="str">
        <f aca="false">_xlfn.CONCAT("L",ROW())</f>
        <v>L71</v>
      </c>
      <c r="C71" s="62" t="n">
        <v>30</v>
      </c>
      <c r="D71" s="62" t="n">
        <v>2</v>
      </c>
      <c r="E71" s="62" t="n">
        <v>2025</v>
      </c>
      <c r="F71" s="62"/>
      <c r="G71" s="62"/>
      <c r="H71" s="62"/>
      <c r="I71" s="62"/>
      <c r="J71" s="63"/>
      <c r="K71" s="63" t="s">
        <v>38</v>
      </c>
      <c r="L71" s="46" t="s">
        <v>39</v>
      </c>
      <c r="M71" s="63" t="s">
        <v>80</v>
      </c>
      <c r="N71" s="80" t="s">
        <v>91</v>
      </c>
      <c r="O71" s="61"/>
      <c r="P71" s="61"/>
      <c r="Q71" s="61"/>
      <c r="R71" s="61"/>
      <c r="S71" s="61"/>
      <c r="T71" s="61"/>
      <c r="U71" s="61"/>
      <c r="V71" s="81"/>
    </row>
    <row r="72" customFormat="false" ht="21" hidden="false" customHeight="true" outlineLevel="0" collapsed="false">
      <c r="A72" s="79" t="str">
        <f aca="false">_xlfn.CONCAT("Zutat", ROW())</f>
        <v>Zutat72</v>
      </c>
      <c r="B72" s="62" t="str">
        <f aca="false">_xlfn.CONCAT("L",ROW())</f>
        <v>L72</v>
      </c>
      <c r="C72" s="62" t="n">
        <v>1</v>
      </c>
      <c r="D72" s="62" t="s">
        <v>92</v>
      </c>
      <c r="E72" s="62" t="n">
        <v>2025</v>
      </c>
      <c r="F72" s="62"/>
      <c r="G72" s="62"/>
      <c r="H72" s="62"/>
      <c r="I72" s="62"/>
      <c r="J72" s="63"/>
      <c r="K72" s="63" t="s">
        <v>38</v>
      </c>
      <c r="L72" s="46" t="s">
        <v>39</v>
      </c>
      <c r="M72" s="63" t="s">
        <v>80</v>
      </c>
      <c r="N72" s="80" t="s">
        <v>93</v>
      </c>
      <c r="O72" s="61"/>
      <c r="P72" s="61"/>
      <c r="Q72" s="61"/>
      <c r="R72" s="61"/>
      <c r="S72" s="61"/>
      <c r="T72" s="61"/>
      <c r="U72" s="61"/>
      <c r="V72" s="81"/>
    </row>
    <row r="73" customFormat="false" ht="21" hidden="false" customHeight="true" outlineLevel="0" collapsed="false">
      <c r="A73" s="79" t="str">
        <f aca="false">_xlfn.CONCAT("Zutat", ROW())</f>
        <v>Zutat73</v>
      </c>
      <c r="B73" s="62" t="str">
        <f aca="false">_xlfn.CONCAT("L",ROW())</f>
        <v>L73</v>
      </c>
      <c r="C73" s="62" t="n">
        <v>2</v>
      </c>
      <c r="D73" s="62" t="n">
        <v>13</v>
      </c>
      <c r="E73" s="62" t="n">
        <v>2025</v>
      </c>
      <c r="F73" s="62"/>
      <c r="G73" s="62"/>
      <c r="H73" s="62"/>
      <c r="I73" s="62"/>
      <c r="J73" s="63"/>
      <c r="K73" s="63" t="s">
        <v>38</v>
      </c>
      <c r="L73" s="46" t="s">
        <v>39</v>
      </c>
      <c r="M73" s="63" t="s">
        <v>80</v>
      </c>
      <c r="N73" s="80" t="s">
        <v>94</v>
      </c>
      <c r="O73" s="61"/>
      <c r="P73" s="61"/>
      <c r="Q73" s="61"/>
      <c r="R73" s="61"/>
      <c r="S73" s="61"/>
      <c r="T73" s="61"/>
      <c r="U73" s="61"/>
      <c r="V73" s="81"/>
    </row>
    <row r="74" customFormat="false" ht="21" hidden="false" customHeight="true" outlineLevel="0" collapsed="false">
      <c r="A74" s="79" t="str">
        <f aca="false">_xlfn.CONCAT("Zutat", ROW())</f>
        <v>Zutat74</v>
      </c>
      <c r="B74" s="62" t="str">
        <f aca="false">_xlfn.CONCAT("L",ROW())</f>
        <v>L74</v>
      </c>
      <c r="C74" s="62" t="n">
        <v>2</v>
      </c>
      <c r="D74" s="62"/>
      <c r="E74" s="62" t="n">
        <v>2025</v>
      </c>
      <c r="F74" s="62"/>
      <c r="G74" s="62"/>
      <c r="H74" s="62"/>
      <c r="I74" s="62"/>
      <c r="J74" s="63"/>
      <c r="K74" s="63" t="s">
        <v>38</v>
      </c>
      <c r="L74" s="46" t="s">
        <v>39</v>
      </c>
      <c r="M74" s="63" t="s">
        <v>80</v>
      </c>
      <c r="N74" s="80" t="s">
        <v>95</v>
      </c>
      <c r="O74" s="61"/>
      <c r="P74" s="61"/>
      <c r="Q74" s="61"/>
      <c r="R74" s="61"/>
      <c r="S74" s="61"/>
      <c r="T74" s="61"/>
      <c r="U74" s="61"/>
      <c r="V74" s="81"/>
    </row>
    <row r="75" customFormat="false" ht="21" hidden="false" customHeight="true" outlineLevel="0" collapsed="false">
      <c r="A75" s="79" t="str">
        <f aca="false">_xlfn.CONCAT("Zutat", ROW())</f>
        <v>Zutat75</v>
      </c>
      <c r="B75" s="62" t="str">
        <f aca="false">_xlfn.CONCAT("L",ROW())</f>
        <v>L75</v>
      </c>
      <c r="C75" s="62" t="n">
        <v>2</v>
      </c>
      <c r="D75" s="62" t="n">
        <v>2</v>
      </c>
      <c r="E75" s="62" t="n">
        <v>25</v>
      </c>
      <c r="F75" s="62"/>
      <c r="G75" s="62"/>
      <c r="H75" s="62"/>
      <c r="I75" s="62"/>
      <c r="J75" s="63"/>
      <c r="K75" s="63" t="s">
        <v>38</v>
      </c>
      <c r="L75" s="46" t="s">
        <v>39</v>
      </c>
      <c r="M75" s="63" t="s">
        <v>80</v>
      </c>
      <c r="N75" s="80" t="s">
        <v>96</v>
      </c>
      <c r="O75" s="61"/>
      <c r="P75" s="61"/>
      <c r="Q75" s="61"/>
      <c r="R75" s="61"/>
      <c r="S75" s="61"/>
      <c r="T75" s="61"/>
      <c r="U75" s="61"/>
      <c r="V75" s="81"/>
    </row>
    <row r="76" customFormat="false" ht="21" hidden="false" customHeight="true" outlineLevel="0" collapsed="false">
      <c r="A76" s="79" t="str">
        <f aca="false">_xlfn.CONCAT("Zutat", ROW())</f>
        <v>Zutat76</v>
      </c>
      <c r="B76" s="62" t="str">
        <f aca="false">_xlfn.CONCAT("L",ROW())</f>
        <v>L76</v>
      </c>
      <c r="C76" s="62" t="n">
        <v>2</v>
      </c>
      <c r="D76" s="62" t="n">
        <v>2</v>
      </c>
      <c r="E76" s="62"/>
      <c r="F76" s="62"/>
      <c r="G76" s="62"/>
      <c r="H76" s="62"/>
      <c r="I76" s="62"/>
      <c r="J76" s="63"/>
      <c r="K76" s="63" t="s">
        <v>38</v>
      </c>
      <c r="L76" s="46" t="s">
        <v>39</v>
      </c>
      <c r="M76" s="63" t="s">
        <v>80</v>
      </c>
      <c r="N76" s="80" t="s">
        <v>97</v>
      </c>
      <c r="O76" s="61"/>
      <c r="P76" s="61"/>
      <c r="Q76" s="61"/>
      <c r="R76" s="61"/>
      <c r="S76" s="61"/>
      <c r="T76" s="61"/>
      <c r="U76" s="61"/>
      <c r="V76" s="81"/>
    </row>
    <row r="77" customFormat="false" ht="21" hidden="false" customHeight="true" outlineLevel="0" collapsed="false">
      <c r="A77" s="79" t="str">
        <f aca="false">_xlfn.CONCAT("Zutat", ROW())</f>
        <v>Zutat77</v>
      </c>
      <c r="B77" s="62" t="str">
        <f aca="false">_xlfn.CONCAT("L",ROW())</f>
        <v>L77</v>
      </c>
      <c r="C77" s="62"/>
      <c r="D77" s="62"/>
      <c r="E77" s="62"/>
      <c r="F77" s="62" t="s">
        <v>143</v>
      </c>
      <c r="G77" s="62" t="n">
        <v>2</v>
      </c>
      <c r="H77" s="62" t="n">
        <v>2025</v>
      </c>
      <c r="I77" s="62"/>
      <c r="J77" s="63"/>
      <c r="K77" s="63" t="s">
        <v>38</v>
      </c>
      <c r="L77" s="46" t="s">
        <v>39</v>
      </c>
      <c r="M77" s="63" t="s">
        <v>80</v>
      </c>
      <c r="N77" s="80" t="s">
        <v>98</v>
      </c>
      <c r="O77" s="61"/>
      <c r="P77" s="61"/>
      <c r="Q77" s="61"/>
      <c r="R77" s="61"/>
      <c r="S77" s="61"/>
      <c r="T77" s="61"/>
      <c r="U77" s="61"/>
      <c r="V77" s="81"/>
    </row>
    <row r="78" customFormat="false" ht="21" hidden="false" customHeight="true" outlineLevel="0" collapsed="false">
      <c r="A78" s="79" t="str">
        <f aca="false">_xlfn.CONCAT("Zutat", ROW())</f>
        <v>Zutat78</v>
      </c>
      <c r="B78" s="62" t="str">
        <f aca="false">_xlfn.CONCAT("L",ROW())</f>
        <v>L78</v>
      </c>
      <c r="C78" s="62"/>
      <c r="D78" s="62"/>
      <c r="E78" s="62"/>
      <c r="F78" s="62" t="n">
        <v>32</v>
      </c>
      <c r="G78" s="62" t="n">
        <v>2</v>
      </c>
      <c r="H78" s="62" t="n">
        <v>2025</v>
      </c>
      <c r="I78" s="62"/>
      <c r="J78" s="63"/>
      <c r="K78" s="63" t="s">
        <v>38</v>
      </c>
      <c r="L78" s="46" t="s">
        <v>39</v>
      </c>
      <c r="M78" s="63" t="s">
        <v>80</v>
      </c>
      <c r="N78" s="80" t="s">
        <v>99</v>
      </c>
      <c r="O78" s="61"/>
      <c r="P78" s="61"/>
      <c r="Q78" s="61"/>
      <c r="R78" s="61"/>
      <c r="S78" s="61"/>
      <c r="T78" s="61"/>
      <c r="U78" s="61"/>
      <c r="V78" s="81"/>
    </row>
    <row r="79" customFormat="false" ht="21" hidden="false" customHeight="true" outlineLevel="0" collapsed="false">
      <c r="A79" s="79" t="str">
        <f aca="false">_xlfn.CONCAT("Zutat", ROW())</f>
        <v>Zutat79</v>
      </c>
      <c r="B79" s="62" t="str">
        <f aca="false">_xlfn.CONCAT("L",ROW())</f>
        <v>L79</v>
      </c>
      <c r="C79" s="62"/>
      <c r="D79" s="62"/>
      <c r="E79" s="62"/>
      <c r="F79" s="62"/>
      <c r="G79" s="62" t="n">
        <v>2</v>
      </c>
      <c r="H79" s="62" t="n">
        <v>2025</v>
      </c>
      <c r="I79" s="62"/>
      <c r="J79" s="63"/>
      <c r="K79" s="63" t="s">
        <v>38</v>
      </c>
      <c r="L79" s="46" t="s">
        <v>39</v>
      </c>
      <c r="M79" s="63" t="s">
        <v>80</v>
      </c>
      <c r="N79" s="80" t="s">
        <v>100</v>
      </c>
      <c r="O79" s="61"/>
      <c r="P79" s="61"/>
      <c r="Q79" s="61"/>
      <c r="R79" s="61"/>
      <c r="S79" s="61"/>
      <c r="T79" s="61"/>
      <c r="U79" s="61"/>
      <c r="V79" s="81"/>
    </row>
    <row r="80" customFormat="false" ht="21" hidden="false" customHeight="true" outlineLevel="0" collapsed="false">
      <c r="A80" s="79" t="str">
        <f aca="false">_xlfn.CONCAT("Zutat", ROW())</f>
        <v>Zutat80</v>
      </c>
      <c r="B80" s="62" t="str">
        <f aca="false">_xlfn.CONCAT("L",ROW())</f>
        <v>L80</v>
      </c>
      <c r="C80" s="62"/>
      <c r="D80" s="62"/>
      <c r="E80" s="62"/>
      <c r="F80" s="62" t="n">
        <v>30</v>
      </c>
      <c r="G80" s="62" t="n">
        <v>2</v>
      </c>
      <c r="H80" s="62" t="n">
        <v>2025</v>
      </c>
      <c r="I80" s="62"/>
      <c r="J80" s="63"/>
      <c r="K80" s="63" t="s">
        <v>38</v>
      </c>
      <c r="L80" s="46" t="s">
        <v>39</v>
      </c>
      <c r="M80" s="63" t="s">
        <v>80</v>
      </c>
      <c r="N80" s="80" t="s">
        <v>101</v>
      </c>
      <c r="O80" s="61"/>
      <c r="P80" s="61"/>
      <c r="Q80" s="61"/>
      <c r="R80" s="61"/>
      <c r="S80" s="61"/>
      <c r="T80" s="61"/>
      <c r="U80" s="61"/>
      <c r="V80" s="81"/>
    </row>
    <row r="81" customFormat="false" ht="21" hidden="false" customHeight="true" outlineLevel="0" collapsed="false">
      <c r="A81" s="79" t="str">
        <f aca="false">_xlfn.CONCAT("Zutat", ROW())</f>
        <v>Zutat81</v>
      </c>
      <c r="B81" s="62" t="str">
        <f aca="false">_xlfn.CONCAT("L",ROW())</f>
        <v>L81</v>
      </c>
      <c r="C81" s="62"/>
      <c r="D81" s="62"/>
      <c r="E81" s="62"/>
      <c r="F81" s="62" t="n">
        <v>1</v>
      </c>
      <c r="G81" s="62" t="s">
        <v>92</v>
      </c>
      <c r="H81" s="62" t="n">
        <v>2025</v>
      </c>
      <c r="I81" s="62"/>
      <c r="J81" s="63"/>
      <c r="K81" s="63" t="s">
        <v>38</v>
      </c>
      <c r="L81" s="46" t="s">
        <v>39</v>
      </c>
      <c r="M81" s="63" t="s">
        <v>80</v>
      </c>
      <c r="N81" s="80" t="s">
        <v>102</v>
      </c>
      <c r="O81" s="61"/>
      <c r="P81" s="61"/>
      <c r="Q81" s="61"/>
      <c r="R81" s="61"/>
      <c r="S81" s="61"/>
      <c r="T81" s="61"/>
      <c r="U81" s="61"/>
      <c r="V81" s="81"/>
    </row>
    <row r="82" customFormat="false" ht="21" hidden="false" customHeight="true" outlineLevel="0" collapsed="false">
      <c r="A82" s="79" t="str">
        <f aca="false">_xlfn.CONCAT("Zutat", ROW())</f>
        <v>Zutat82</v>
      </c>
      <c r="B82" s="62" t="str">
        <f aca="false">_xlfn.CONCAT("L",ROW())</f>
        <v>L82</v>
      </c>
      <c r="C82" s="62"/>
      <c r="D82" s="62"/>
      <c r="E82" s="62"/>
      <c r="F82" s="62" t="n">
        <v>2</v>
      </c>
      <c r="G82" s="62" t="n">
        <v>13</v>
      </c>
      <c r="H82" s="62" t="n">
        <v>2025</v>
      </c>
      <c r="I82" s="62"/>
      <c r="J82" s="63"/>
      <c r="K82" s="63" t="s">
        <v>38</v>
      </c>
      <c r="L82" s="46" t="s">
        <v>39</v>
      </c>
      <c r="M82" s="63" t="s">
        <v>80</v>
      </c>
      <c r="N82" s="80" t="s">
        <v>103</v>
      </c>
      <c r="O82" s="61"/>
      <c r="P82" s="61"/>
      <c r="Q82" s="61"/>
      <c r="R82" s="61"/>
      <c r="S82" s="61"/>
      <c r="T82" s="61"/>
      <c r="U82" s="61"/>
      <c r="V82" s="81"/>
    </row>
    <row r="83" customFormat="false" ht="21" hidden="false" customHeight="true" outlineLevel="0" collapsed="false">
      <c r="A83" s="79" t="str">
        <f aca="false">_xlfn.CONCAT("Zutat", ROW())</f>
        <v>Zutat83</v>
      </c>
      <c r="B83" s="62" t="str">
        <f aca="false">_xlfn.CONCAT("L",ROW())</f>
        <v>L83</v>
      </c>
      <c r="C83" s="62"/>
      <c r="D83" s="62"/>
      <c r="E83" s="62"/>
      <c r="F83" s="62" t="n">
        <v>2</v>
      </c>
      <c r="G83" s="62"/>
      <c r="H83" s="62" t="n">
        <v>2025</v>
      </c>
      <c r="I83" s="62"/>
      <c r="J83" s="63"/>
      <c r="K83" s="63" t="s">
        <v>38</v>
      </c>
      <c r="L83" s="46" t="s">
        <v>39</v>
      </c>
      <c r="M83" s="63" t="s">
        <v>80</v>
      </c>
      <c r="N83" s="80" t="s">
        <v>104</v>
      </c>
      <c r="O83" s="61"/>
      <c r="P83" s="61"/>
      <c r="Q83" s="61"/>
      <c r="R83" s="61"/>
      <c r="S83" s="61"/>
      <c r="T83" s="61"/>
      <c r="U83" s="61"/>
      <c r="V83" s="81"/>
    </row>
    <row r="84" customFormat="false" ht="21" hidden="false" customHeight="true" outlineLevel="0" collapsed="false">
      <c r="A84" s="79" t="str">
        <f aca="false">_xlfn.CONCAT("Zutat", ROW())</f>
        <v>Zutat84</v>
      </c>
      <c r="B84" s="62" t="str">
        <f aca="false">_xlfn.CONCAT("L",ROW())</f>
        <v>L84</v>
      </c>
      <c r="C84" s="62"/>
      <c r="D84" s="62"/>
      <c r="E84" s="62"/>
      <c r="F84" s="62" t="n">
        <v>2</v>
      </c>
      <c r="G84" s="62" t="n">
        <v>2</v>
      </c>
      <c r="H84" s="62" t="n">
        <v>25</v>
      </c>
      <c r="I84" s="62"/>
      <c r="J84" s="63"/>
      <c r="K84" s="63" t="s">
        <v>38</v>
      </c>
      <c r="L84" s="46" t="s">
        <v>39</v>
      </c>
      <c r="M84" s="63" t="s">
        <v>80</v>
      </c>
      <c r="N84" s="80" t="s">
        <v>105</v>
      </c>
      <c r="O84" s="61"/>
      <c r="P84" s="61"/>
      <c r="Q84" s="61"/>
      <c r="R84" s="61"/>
      <c r="S84" s="61"/>
      <c r="T84" s="61"/>
      <c r="U84" s="61"/>
      <c r="V84" s="81"/>
    </row>
    <row r="85" customFormat="false" ht="21" hidden="false" customHeight="true" outlineLevel="0" collapsed="false">
      <c r="A85" s="79" t="str">
        <f aca="false">_xlfn.CONCAT("Zutat", ROW())</f>
        <v>Zutat85</v>
      </c>
      <c r="B85" s="62" t="str">
        <f aca="false">_xlfn.CONCAT("L",ROW())</f>
        <v>L85</v>
      </c>
      <c r="C85" s="62"/>
      <c r="D85" s="62"/>
      <c r="E85" s="62"/>
      <c r="F85" s="62" t="n">
        <v>2</v>
      </c>
      <c r="G85" s="62" t="n">
        <v>2</v>
      </c>
      <c r="H85" s="62"/>
      <c r="I85" s="62"/>
      <c r="J85" s="63"/>
      <c r="K85" s="63" t="s">
        <v>38</v>
      </c>
      <c r="L85" s="46" t="s">
        <v>39</v>
      </c>
      <c r="M85" s="63" t="s">
        <v>80</v>
      </c>
      <c r="N85" s="80" t="s">
        <v>106</v>
      </c>
      <c r="O85" s="61"/>
      <c r="P85" s="61"/>
      <c r="Q85" s="61"/>
      <c r="R85" s="61"/>
      <c r="S85" s="61"/>
      <c r="T85" s="61"/>
      <c r="U85" s="61"/>
      <c r="V85" s="81"/>
    </row>
    <row r="86" customFormat="false" ht="21" hidden="false" customHeight="true" outlineLevel="0" collapsed="false">
      <c r="A86" s="79" t="str">
        <f aca="false">_xlfn.CONCAT("Zutat", ROW())</f>
        <v>Zutat86</v>
      </c>
      <c r="B86" s="62" t="str">
        <f aca="false">_xlfn.CONCAT("L",ROW())</f>
        <v>L86</v>
      </c>
      <c r="C86" s="62" t="n">
        <v>3</v>
      </c>
      <c r="D86" s="62" t="n">
        <v>2</v>
      </c>
      <c r="E86" s="62" t="n">
        <v>2025</v>
      </c>
      <c r="F86" s="62" t="n">
        <v>2</v>
      </c>
      <c r="G86" s="62" t="n">
        <v>2</v>
      </c>
      <c r="H86" s="62" t="n">
        <v>2025</v>
      </c>
      <c r="I86" s="62"/>
      <c r="J86" s="63"/>
      <c r="K86" s="63" t="s">
        <v>38</v>
      </c>
      <c r="L86" s="46" t="s">
        <v>39</v>
      </c>
      <c r="M86" s="63" t="s">
        <v>80</v>
      </c>
      <c r="N86" s="80" t="s">
        <v>107</v>
      </c>
      <c r="O86" s="61"/>
      <c r="P86" s="61"/>
      <c r="Q86" s="61"/>
      <c r="R86" s="61"/>
      <c r="S86" s="61"/>
      <c r="T86" s="61"/>
      <c r="U86" s="61"/>
      <c r="V86" s="81"/>
    </row>
    <row r="87" customFormat="false" ht="21" hidden="false" customHeight="true" outlineLevel="0" collapsed="false">
      <c r="A87" s="79" t="str">
        <f aca="false">_xlfn.CONCAT("Zutat", ROW())</f>
        <v>Zutat87</v>
      </c>
      <c r="B87" s="62" t="str">
        <f aca="false">_xlfn.CONCAT("L",ROW())</f>
        <v>L87</v>
      </c>
      <c r="C87" s="62"/>
      <c r="D87" s="62"/>
      <c r="E87" s="62"/>
      <c r="F87" s="62"/>
      <c r="G87" s="62"/>
      <c r="H87" s="62"/>
      <c r="I87" s="62"/>
      <c r="J87" s="63"/>
      <c r="K87" s="63" t="s">
        <v>38</v>
      </c>
      <c r="L87" s="46" t="s">
        <v>39</v>
      </c>
      <c r="M87" s="63" t="s">
        <v>80</v>
      </c>
      <c r="N87" s="80" t="s">
        <v>110</v>
      </c>
      <c r="O87" s="61"/>
      <c r="P87" s="61"/>
      <c r="Q87" s="61"/>
      <c r="R87" s="61"/>
      <c r="S87" s="61"/>
      <c r="T87" s="61"/>
      <c r="U87" s="61"/>
      <c r="V87" s="81"/>
    </row>
    <row r="88" customFormat="false" ht="21" hidden="false" customHeight="true" outlineLevel="0" collapsed="false">
      <c r="A88" s="79" t="str">
        <f aca="false">_xlfn.CONCAT("Zutat", ROW())</f>
        <v>Zutat88</v>
      </c>
      <c r="B88" s="62" t="str">
        <f aca="false">_xlfn.CONCAT("L",ROW())</f>
        <v>L88</v>
      </c>
      <c r="C88" s="62"/>
      <c r="D88" s="62"/>
      <c r="E88" s="62"/>
      <c r="F88" s="62"/>
      <c r="G88" s="62"/>
      <c r="H88" s="62"/>
      <c r="I88" s="62"/>
      <c r="J88" s="63"/>
      <c r="K88" s="63" t="s">
        <v>38</v>
      </c>
      <c r="L88" s="46" t="s">
        <v>39</v>
      </c>
      <c r="M88" s="61" t="s">
        <v>128</v>
      </c>
      <c r="N88" s="80" t="s">
        <v>144</v>
      </c>
      <c r="O88" s="61"/>
      <c r="P88" s="61"/>
      <c r="Q88" s="61"/>
      <c r="R88" s="61"/>
      <c r="S88" s="61"/>
      <c r="T88" s="61"/>
      <c r="U88" s="61"/>
      <c r="V88" s="81"/>
    </row>
    <row r="89" customFormat="false" ht="21" hidden="false" customHeight="true" outlineLevel="0" collapsed="false">
      <c r="A89" s="79" t="str">
        <f aca="false">_xlfn.CONCAT("Zutat", ROW())</f>
        <v>Zutat89</v>
      </c>
      <c r="B89" s="62" t="str">
        <f aca="false">_xlfn.CONCAT("L",ROW())</f>
        <v>L89</v>
      </c>
      <c r="C89" s="62"/>
      <c r="D89" s="62"/>
      <c r="E89" s="62"/>
      <c r="F89" s="62"/>
      <c r="G89" s="62"/>
      <c r="H89" s="62"/>
      <c r="I89" s="62"/>
      <c r="J89" s="63"/>
      <c r="K89" s="63" t="s">
        <v>38</v>
      </c>
      <c r="L89" s="46" t="s">
        <v>39</v>
      </c>
      <c r="M89" s="61" t="s">
        <v>70</v>
      </c>
      <c r="N89" s="80" t="s">
        <v>145</v>
      </c>
      <c r="O89" s="61"/>
      <c r="P89" s="61"/>
      <c r="Q89" s="61"/>
      <c r="R89" s="61"/>
      <c r="S89" s="61"/>
      <c r="T89" s="61"/>
      <c r="U89" s="61"/>
      <c r="V89" s="81"/>
    </row>
    <row r="90" customFormat="false" ht="21" hidden="false" customHeight="true" outlineLevel="0" collapsed="false">
      <c r="A90" s="79" t="str">
        <f aca="false">_xlfn.CONCAT("Zutat", ROW())</f>
        <v>Zutat90</v>
      </c>
      <c r="B90" s="62" t="str">
        <f aca="false">_xlfn.CONCAT("L",ROW())</f>
        <v>L90</v>
      </c>
      <c r="C90" s="62"/>
      <c r="D90" s="62"/>
      <c r="E90" s="62"/>
      <c r="F90" s="62"/>
      <c r="G90" s="62"/>
      <c r="H90" s="62"/>
      <c r="I90" s="62"/>
      <c r="J90" s="63"/>
      <c r="K90" s="63" t="s">
        <v>38</v>
      </c>
      <c r="L90" s="46" t="s">
        <v>39</v>
      </c>
      <c r="M90" s="61" t="s">
        <v>78</v>
      </c>
      <c r="N90" s="80" t="s">
        <v>146</v>
      </c>
      <c r="O90" s="61"/>
      <c r="P90" s="61"/>
      <c r="Q90" s="61"/>
      <c r="R90" s="61"/>
      <c r="S90" s="61"/>
      <c r="T90" s="61"/>
      <c r="U90" s="61"/>
      <c r="V90" s="81"/>
    </row>
    <row r="91" customFormat="false" ht="21" hidden="false" customHeight="true" outlineLevel="0" collapsed="false">
      <c r="A91" s="79" t="str">
        <f aca="false">_xlfn.CONCAT("Zutat", ROW())</f>
        <v>Zutat91</v>
      </c>
      <c r="B91" s="62" t="str">
        <f aca="false">_xlfn.CONCAT("L",ROW())</f>
        <v>L91</v>
      </c>
      <c r="C91" s="62"/>
      <c r="D91" s="62"/>
      <c r="E91" s="62"/>
      <c r="F91" s="62"/>
      <c r="G91" s="62"/>
      <c r="H91" s="62"/>
      <c r="I91" s="62"/>
      <c r="J91" s="63"/>
      <c r="K91" s="63" t="s">
        <v>38</v>
      </c>
      <c r="L91" s="46" t="s">
        <v>39</v>
      </c>
      <c r="M91" s="63" t="s">
        <v>76</v>
      </c>
      <c r="N91" s="80" t="s">
        <v>147</v>
      </c>
      <c r="O91" s="61"/>
      <c r="P91" s="61"/>
      <c r="Q91" s="61"/>
      <c r="R91" s="61"/>
      <c r="S91" s="61"/>
      <c r="T91" s="61"/>
      <c r="U91" s="61"/>
      <c r="V91" s="81"/>
    </row>
    <row r="92" customFormat="false" ht="21" hidden="false" customHeight="true" outlineLevel="0" collapsed="false">
      <c r="A92" s="79" t="str">
        <f aca="false">_xlfn.CONCAT("Zutat", ROW())</f>
        <v>Zutat92</v>
      </c>
      <c r="B92" s="62" t="str">
        <f aca="false">_xlfn.CONCAT("L",ROW())</f>
        <v>L92</v>
      </c>
      <c r="C92" s="62"/>
      <c r="D92" s="62"/>
      <c r="E92" s="62"/>
      <c r="F92" s="62"/>
      <c r="G92" s="62"/>
      <c r="H92" s="62"/>
      <c r="I92" s="62"/>
      <c r="J92" s="63"/>
      <c r="K92" s="63" t="s">
        <v>38</v>
      </c>
      <c r="L92" s="46" t="s">
        <v>39</v>
      </c>
      <c r="M92" s="63" t="s">
        <v>67</v>
      </c>
      <c r="N92" s="80" t="s">
        <v>148</v>
      </c>
      <c r="O92" s="61"/>
      <c r="P92" s="61"/>
      <c r="Q92" s="61"/>
      <c r="R92" s="61"/>
      <c r="S92" s="61"/>
      <c r="T92" s="61"/>
      <c r="U92" s="61"/>
      <c r="V92" s="81"/>
    </row>
    <row r="93" customFormat="false" ht="21" hidden="false" customHeight="true" outlineLevel="0" collapsed="false">
      <c r="A93" s="83"/>
      <c r="B93" s="63"/>
      <c r="C93" s="62"/>
      <c r="D93" s="62"/>
      <c r="E93" s="62"/>
      <c r="F93" s="62"/>
      <c r="G93" s="62"/>
      <c r="H93" s="62"/>
      <c r="I93" s="62"/>
      <c r="J93" s="63"/>
      <c r="K93" s="63"/>
      <c r="L93" s="46"/>
      <c r="M93" s="63"/>
      <c r="N93" s="80"/>
      <c r="O93" s="61"/>
      <c r="P93" s="61"/>
      <c r="Q93" s="61"/>
      <c r="R93" s="61"/>
      <c r="S93" s="61"/>
      <c r="T93" s="61"/>
      <c r="U93" s="61"/>
      <c r="V93" s="81"/>
    </row>
    <row r="94" customFormat="false" ht="21" hidden="false" customHeight="true" outlineLevel="0" collapsed="false">
      <c r="A94" s="83"/>
      <c r="B94" s="63"/>
      <c r="C94" s="62"/>
      <c r="D94" s="62"/>
      <c r="E94" s="62"/>
      <c r="F94" s="62"/>
      <c r="G94" s="62"/>
      <c r="H94" s="62"/>
      <c r="I94" s="62"/>
      <c r="J94" s="63"/>
      <c r="K94" s="63"/>
      <c r="L94" s="46"/>
      <c r="M94" s="63"/>
      <c r="N94" s="80"/>
      <c r="O94" s="61"/>
      <c r="P94" s="61"/>
      <c r="Q94" s="61"/>
      <c r="R94" s="61"/>
      <c r="S94" s="61"/>
      <c r="T94" s="61"/>
      <c r="U94" s="61"/>
      <c r="V94" s="81"/>
    </row>
    <row r="95" customFormat="false" ht="21" hidden="false" customHeight="true" outlineLevel="0" collapsed="false">
      <c r="A95" s="83"/>
      <c r="B95" s="63"/>
      <c r="C95" s="62"/>
      <c r="D95" s="62"/>
      <c r="E95" s="62"/>
      <c r="F95" s="62"/>
      <c r="G95" s="62"/>
      <c r="H95" s="62"/>
      <c r="I95" s="62"/>
      <c r="J95" s="63"/>
      <c r="K95" s="63"/>
      <c r="L95" s="46"/>
      <c r="M95" s="63"/>
      <c r="N95" s="80"/>
      <c r="O95" s="61"/>
      <c r="P95" s="61"/>
      <c r="Q95" s="61"/>
      <c r="R95" s="61"/>
      <c r="S95" s="61"/>
      <c r="T95" s="61"/>
      <c r="U95" s="61"/>
      <c r="V95" s="81"/>
    </row>
    <row r="96" customFormat="false" ht="21" hidden="false" customHeight="true" outlineLevel="0" collapsed="false">
      <c r="A96" s="83"/>
      <c r="B96" s="63"/>
      <c r="C96" s="62"/>
      <c r="D96" s="62"/>
      <c r="E96" s="62"/>
      <c r="F96" s="62"/>
      <c r="G96" s="62"/>
      <c r="H96" s="62"/>
      <c r="I96" s="62"/>
      <c r="J96" s="63"/>
      <c r="K96" s="63"/>
      <c r="L96" s="46"/>
      <c r="M96" s="63"/>
      <c r="N96" s="80"/>
      <c r="O96" s="61"/>
      <c r="P96" s="61"/>
      <c r="Q96" s="61"/>
      <c r="R96" s="61"/>
      <c r="S96" s="61"/>
      <c r="T96" s="61"/>
      <c r="U96" s="61"/>
      <c r="V96" s="81"/>
    </row>
    <row r="97" customFormat="false" ht="21" hidden="false" customHeight="true" outlineLevel="0" collapsed="false">
      <c r="A97" s="83"/>
      <c r="B97" s="63"/>
      <c r="C97" s="62"/>
      <c r="D97" s="62"/>
      <c r="E97" s="62"/>
      <c r="F97" s="62"/>
      <c r="G97" s="62"/>
      <c r="H97" s="62"/>
      <c r="I97" s="62"/>
      <c r="J97" s="63"/>
      <c r="K97" s="63"/>
      <c r="L97" s="46"/>
      <c r="M97" s="63"/>
      <c r="N97" s="80"/>
      <c r="O97" s="61"/>
      <c r="P97" s="61"/>
      <c r="Q97" s="61"/>
      <c r="R97" s="61"/>
      <c r="S97" s="61"/>
      <c r="T97" s="61"/>
      <c r="U97" s="61"/>
      <c r="V97" s="81"/>
    </row>
    <row r="98" customFormat="false" ht="21" hidden="false" customHeight="true" outlineLevel="0" collapsed="false">
      <c r="A98" s="83"/>
      <c r="B98" s="63"/>
      <c r="C98" s="62"/>
      <c r="D98" s="62"/>
      <c r="E98" s="62"/>
      <c r="F98" s="62"/>
      <c r="G98" s="62"/>
      <c r="H98" s="62"/>
      <c r="I98" s="62"/>
      <c r="J98" s="63"/>
      <c r="K98" s="63"/>
      <c r="L98" s="46"/>
      <c r="M98" s="63"/>
      <c r="N98" s="80"/>
      <c r="O98" s="61"/>
      <c r="P98" s="61"/>
      <c r="Q98" s="61"/>
      <c r="R98" s="61"/>
      <c r="S98" s="61"/>
      <c r="T98" s="61"/>
      <c r="U98" s="61"/>
      <c r="V98" s="81"/>
    </row>
    <row r="99" customFormat="false" ht="21" hidden="false" customHeight="true" outlineLevel="0" collapsed="false">
      <c r="A99" s="83"/>
      <c r="B99" s="63"/>
      <c r="C99" s="62"/>
      <c r="D99" s="62"/>
      <c r="E99" s="62"/>
      <c r="F99" s="62"/>
      <c r="G99" s="62"/>
      <c r="H99" s="62"/>
      <c r="I99" s="62"/>
      <c r="J99" s="63"/>
      <c r="K99" s="63"/>
      <c r="L99" s="46"/>
      <c r="M99" s="63"/>
      <c r="N99" s="80"/>
      <c r="O99" s="61"/>
      <c r="P99" s="61"/>
      <c r="Q99" s="61"/>
      <c r="R99" s="61"/>
      <c r="S99" s="61"/>
      <c r="T99" s="61"/>
      <c r="U99" s="61"/>
      <c r="V99" s="81"/>
    </row>
    <row r="100" customFormat="false" ht="21" hidden="false" customHeight="true" outlineLevel="0" collapsed="false">
      <c r="A100" s="83"/>
      <c r="B100" s="63"/>
      <c r="C100" s="62"/>
      <c r="D100" s="62"/>
      <c r="E100" s="62"/>
      <c r="F100" s="62"/>
      <c r="G100" s="62"/>
      <c r="H100" s="62"/>
      <c r="I100" s="62"/>
      <c r="J100" s="63"/>
      <c r="K100" s="63"/>
      <c r="L100" s="46"/>
      <c r="M100" s="63"/>
      <c r="N100" s="80"/>
      <c r="O100" s="61"/>
      <c r="P100" s="61"/>
      <c r="Q100" s="61"/>
      <c r="R100" s="61"/>
      <c r="S100" s="61"/>
      <c r="T100" s="61"/>
      <c r="U100" s="61"/>
      <c r="V100" s="81"/>
    </row>
    <row r="101" customFormat="false" ht="21" hidden="false" customHeight="true" outlineLevel="0" collapsed="false">
      <c r="A101" s="83"/>
      <c r="B101" s="63"/>
      <c r="C101" s="62"/>
      <c r="D101" s="62"/>
      <c r="E101" s="62"/>
      <c r="F101" s="62"/>
      <c r="G101" s="62"/>
      <c r="H101" s="62"/>
      <c r="I101" s="62"/>
      <c r="J101" s="63"/>
      <c r="K101" s="63"/>
      <c r="L101" s="46"/>
      <c r="M101" s="63"/>
      <c r="N101" s="80"/>
      <c r="O101" s="61"/>
      <c r="P101" s="61"/>
      <c r="Q101" s="61"/>
      <c r="R101" s="61"/>
      <c r="S101" s="61"/>
      <c r="T101" s="61"/>
      <c r="U101" s="61"/>
      <c r="V101" s="81"/>
    </row>
    <row r="102" customFormat="false" ht="21" hidden="false" customHeight="true" outlineLevel="0" collapsed="false">
      <c r="A102" s="83"/>
      <c r="B102" s="63"/>
      <c r="C102" s="62"/>
      <c r="D102" s="62"/>
      <c r="E102" s="62"/>
      <c r="F102" s="62"/>
      <c r="G102" s="62"/>
      <c r="H102" s="62"/>
      <c r="I102" s="62"/>
      <c r="J102" s="63"/>
      <c r="K102" s="63"/>
      <c r="L102" s="46"/>
      <c r="M102" s="63"/>
      <c r="N102" s="80"/>
      <c r="O102" s="61"/>
      <c r="P102" s="61"/>
      <c r="Q102" s="61"/>
      <c r="R102" s="61"/>
      <c r="S102" s="61"/>
      <c r="T102" s="61"/>
      <c r="U102" s="61"/>
      <c r="V102" s="81"/>
    </row>
    <row r="103" customFormat="false" ht="21" hidden="false" customHeight="true" outlineLevel="0" collapsed="false">
      <c r="A103" s="83"/>
      <c r="B103" s="63"/>
      <c r="C103" s="62"/>
      <c r="D103" s="62"/>
      <c r="E103" s="62"/>
      <c r="F103" s="62"/>
      <c r="G103" s="62"/>
      <c r="H103" s="62"/>
      <c r="I103" s="62"/>
      <c r="J103" s="63"/>
      <c r="K103" s="63"/>
      <c r="L103" s="46"/>
      <c r="M103" s="63"/>
      <c r="N103" s="80"/>
      <c r="O103" s="61"/>
      <c r="P103" s="61"/>
      <c r="Q103" s="61"/>
      <c r="R103" s="61"/>
      <c r="S103" s="61"/>
      <c r="T103" s="61"/>
      <c r="U103" s="61"/>
      <c r="V103" s="81"/>
    </row>
    <row r="104" customFormat="false" ht="21" hidden="false" customHeight="true" outlineLevel="0" collapsed="false">
      <c r="A104" s="83"/>
      <c r="B104" s="63"/>
      <c r="C104" s="62"/>
      <c r="D104" s="62"/>
      <c r="E104" s="62"/>
      <c r="F104" s="62"/>
      <c r="G104" s="62"/>
      <c r="H104" s="62"/>
      <c r="I104" s="62"/>
      <c r="J104" s="63"/>
      <c r="K104" s="63"/>
      <c r="L104" s="46"/>
      <c r="M104" s="63"/>
      <c r="N104" s="80"/>
      <c r="O104" s="61"/>
      <c r="P104" s="61"/>
      <c r="Q104" s="61"/>
      <c r="R104" s="61"/>
      <c r="S104" s="61"/>
      <c r="T104" s="61"/>
      <c r="U104" s="61"/>
      <c r="V104" s="81"/>
    </row>
    <row r="105" customFormat="false" ht="21" hidden="false" customHeight="true" outlineLevel="0" collapsed="false">
      <c r="A105" s="83"/>
      <c r="B105" s="63"/>
      <c r="C105" s="62"/>
      <c r="D105" s="62"/>
      <c r="E105" s="62"/>
      <c r="F105" s="62"/>
      <c r="G105" s="62"/>
      <c r="H105" s="62"/>
      <c r="I105" s="62"/>
      <c r="J105" s="63"/>
      <c r="K105" s="63"/>
      <c r="L105" s="46"/>
      <c r="M105" s="63"/>
      <c r="N105" s="80"/>
      <c r="O105" s="61"/>
      <c r="P105" s="61"/>
      <c r="Q105" s="61"/>
      <c r="R105" s="61"/>
      <c r="S105" s="61"/>
      <c r="T105" s="61"/>
      <c r="U105" s="61"/>
      <c r="V105" s="81"/>
    </row>
    <row r="106" customFormat="false" ht="21" hidden="false" customHeight="true" outlineLevel="0" collapsed="false">
      <c r="A106" s="83"/>
      <c r="B106" s="63"/>
      <c r="C106" s="62"/>
      <c r="D106" s="62"/>
      <c r="E106" s="62"/>
      <c r="F106" s="62"/>
      <c r="G106" s="62"/>
      <c r="H106" s="62"/>
      <c r="I106" s="62"/>
      <c r="J106" s="63"/>
      <c r="K106" s="63"/>
      <c r="L106" s="46"/>
      <c r="M106" s="63"/>
      <c r="N106" s="80"/>
      <c r="O106" s="61"/>
      <c r="P106" s="61"/>
      <c r="Q106" s="61"/>
      <c r="R106" s="61"/>
      <c r="S106" s="61"/>
      <c r="T106" s="61"/>
      <c r="U106" s="61"/>
      <c r="V106" s="81"/>
    </row>
    <row r="107" customFormat="false" ht="21" hidden="false" customHeight="true" outlineLevel="0" collapsed="false">
      <c r="A107" s="83"/>
      <c r="B107" s="63"/>
      <c r="C107" s="62"/>
      <c r="D107" s="62"/>
      <c r="E107" s="62"/>
      <c r="F107" s="62"/>
      <c r="G107" s="62"/>
      <c r="H107" s="62"/>
      <c r="I107" s="62"/>
      <c r="J107" s="63"/>
      <c r="K107" s="63"/>
      <c r="L107" s="46"/>
      <c r="M107" s="63"/>
      <c r="N107" s="80"/>
      <c r="O107" s="61"/>
      <c r="P107" s="61"/>
      <c r="Q107" s="61"/>
      <c r="R107" s="61"/>
      <c r="S107" s="61"/>
      <c r="T107" s="61"/>
      <c r="U107" s="61"/>
      <c r="V107" s="81"/>
    </row>
    <row r="108" customFormat="false" ht="21" hidden="false" customHeight="true" outlineLevel="0" collapsed="false">
      <c r="A108" s="83"/>
      <c r="B108" s="63"/>
      <c r="C108" s="62"/>
      <c r="D108" s="62"/>
      <c r="E108" s="62"/>
      <c r="F108" s="62"/>
      <c r="G108" s="62"/>
      <c r="H108" s="62"/>
      <c r="I108" s="62"/>
      <c r="J108" s="63"/>
      <c r="K108" s="63"/>
      <c r="L108" s="46"/>
      <c r="M108" s="63"/>
      <c r="N108" s="80"/>
      <c r="O108" s="61"/>
      <c r="P108" s="61"/>
      <c r="Q108" s="61"/>
      <c r="R108" s="61"/>
      <c r="S108" s="61"/>
      <c r="T108" s="61"/>
      <c r="U108" s="61"/>
      <c r="V108" s="81"/>
    </row>
    <row r="109" customFormat="false" ht="21" hidden="false" customHeight="true" outlineLevel="0" collapsed="false">
      <c r="A109" s="83"/>
      <c r="B109" s="63"/>
      <c r="C109" s="62"/>
      <c r="D109" s="62"/>
      <c r="E109" s="62"/>
      <c r="F109" s="62"/>
      <c r="G109" s="62"/>
      <c r="H109" s="62"/>
      <c r="I109" s="62"/>
      <c r="J109" s="63"/>
      <c r="K109" s="63"/>
      <c r="L109" s="46"/>
      <c r="M109" s="63"/>
      <c r="N109" s="80"/>
      <c r="O109" s="61"/>
      <c r="P109" s="61"/>
      <c r="Q109" s="61"/>
      <c r="R109" s="61"/>
      <c r="S109" s="61"/>
      <c r="T109" s="61"/>
      <c r="U109" s="61"/>
      <c r="V109" s="81"/>
    </row>
    <row r="110" customFormat="false" ht="21" hidden="false" customHeight="true" outlineLevel="0" collapsed="false">
      <c r="A110" s="83"/>
      <c r="B110" s="63"/>
      <c r="C110" s="62"/>
      <c r="D110" s="62"/>
      <c r="E110" s="62"/>
      <c r="F110" s="62"/>
      <c r="G110" s="62"/>
      <c r="H110" s="62"/>
      <c r="I110" s="62"/>
      <c r="J110" s="63"/>
      <c r="K110" s="63"/>
      <c r="L110" s="46"/>
      <c r="M110" s="63"/>
      <c r="N110" s="80"/>
      <c r="O110" s="61"/>
      <c r="P110" s="61"/>
      <c r="Q110" s="61"/>
      <c r="R110" s="61"/>
      <c r="S110" s="61"/>
      <c r="T110" s="61"/>
      <c r="U110" s="61"/>
      <c r="V110" s="81"/>
    </row>
    <row r="111" customFormat="false" ht="21" hidden="false" customHeight="true" outlineLevel="0" collapsed="false">
      <c r="A111" s="83"/>
      <c r="B111" s="63"/>
      <c r="C111" s="62"/>
      <c r="D111" s="62"/>
      <c r="E111" s="62"/>
      <c r="F111" s="62"/>
      <c r="G111" s="62"/>
      <c r="H111" s="62"/>
      <c r="I111" s="62"/>
      <c r="J111" s="63"/>
      <c r="K111" s="63"/>
      <c r="L111" s="46"/>
      <c r="M111" s="63"/>
      <c r="N111" s="80"/>
      <c r="O111" s="61"/>
      <c r="P111" s="61"/>
      <c r="Q111" s="61"/>
      <c r="R111" s="61"/>
      <c r="S111" s="61"/>
      <c r="T111" s="61"/>
      <c r="U111" s="61"/>
      <c r="V111" s="81"/>
    </row>
    <row r="112" customFormat="false" ht="21" hidden="false" customHeight="true" outlineLevel="0" collapsed="false">
      <c r="A112" s="83"/>
      <c r="B112" s="63"/>
      <c r="C112" s="62"/>
      <c r="D112" s="62"/>
      <c r="E112" s="62"/>
      <c r="F112" s="62"/>
      <c r="G112" s="62"/>
      <c r="H112" s="62"/>
      <c r="I112" s="62"/>
      <c r="J112" s="63"/>
      <c r="K112" s="63"/>
      <c r="L112" s="46"/>
      <c r="M112" s="63"/>
      <c r="N112" s="80"/>
      <c r="O112" s="61"/>
      <c r="P112" s="61"/>
      <c r="Q112" s="61"/>
      <c r="R112" s="61"/>
      <c r="S112" s="61"/>
      <c r="T112" s="61"/>
      <c r="U112" s="61"/>
      <c r="V112" s="81"/>
    </row>
    <row r="113" customFormat="false" ht="21" hidden="false" customHeight="true" outlineLevel="0" collapsed="false">
      <c r="A113" s="83"/>
      <c r="B113" s="63"/>
      <c r="C113" s="62"/>
      <c r="D113" s="62"/>
      <c r="E113" s="62"/>
      <c r="F113" s="62"/>
      <c r="G113" s="62"/>
      <c r="H113" s="62"/>
      <c r="I113" s="62"/>
      <c r="J113" s="63"/>
      <c r="K113" s="63"/>
      <c r="L113" s="46"/>
      <c r="M113" s="63"/>
      <c r="N113" s="80"/>
      <c r="O113" s="61"/>
      <c r="P113" s="61"/>
      <c r="Q113" s="61"/>
      <c r="R113" s="61"/>
      <c r="S113" s="61"/>
      <c r="T113" s="61"/>
      <c r="U113" s="61"/>
      <c r="V113" s="81"/>
    </row>
    <row r="114" customFormat="false" ht="21" hidden="false" customHeight="true" outlineLevel="0" collapsed="false">
      <c r="A114" s="83"/>
      <c r="B114" s="63"/>
      <c r="C114" s="62"/>
      <c r="D114" s="62"/>
      <c r="E114" s="62"/>
      <c r="F114" s="62"/>
      <c r="G114" s="62"/>
      <c r="H114" s="62"/>
      <c r="I114" s="62"/>
      <c r="J114" s="63"/>
      <c r="K114" s="63"/>
      <c r="L114" s="46"/>
      <c r="M114" s="63"/>
      <c r="N114" s="80"/>
      <c r="O114" s="61"/>
      <c r="P114" s="61"/>
      <c r="Q114" s="61"/>
      <c r="R114" s="61"/>
      <c r="S114" s="61"/>
      <c r="T114" s="61"/>
      <c r="U114" s="61"/>
      <c r="V114" s="81"/>
    </row>
    <row r="115" customFormat="false" ht="21" hidden="false" customHeight="true" outlineLevel="0" collapsed="false">
      <c r="A115" s="83"/>
      <c r="B115" s="63"/>
      <c r="C115" s="62"/>
      <c r="D115" s="62"/>
      <c r="E115" s="62"/>
      <c r="F115" s="62"/>
      <c r="G115" s="62"/>
      <c r="H115" s="62"/>
      <c r="I115" s="62"/>
      <c r="J115" s="63"/>
      <c r="K115" s="63"/>
      <c r="L115" s="46"/>
      <c r="M115" s="63"/>
      <c r="N115" s="80"/>
      <c r="O115" s="61"/>
      <c r="P115" s="61"/>
      <c r="Q115" s="61"/>
      <c r="R115" s="61"/>
      <c r="S115" s="61"/>
      <c r="T115" s="61"/>
      <c r="U115" s="61"/>
      <c r="V115" s="81"/>
    </row>
    <row r="116" customFormat="false" ht="21" hidden="false" customHeight="true" outlineLevel="0" collapsed="false">
      <c r="A116" s="83"/>
      <c r="B116" s="63"/>
      <c r="C116" s="62"/>
      <c r="D116" s="62"/>
      <c r="E116" s="62"/>
      <c r="F116" s="62"/>
      <c r="G116" s="62"/>
      <c r="H116" s="62"/>
      <c r="I116" s="62"/>
      <c r="J116" s="63"/>
      <c r="K116" s="63"/>
      <c r="L116" s="46"/>
      <c r="M116" s="63"/>
      <c r="N116" s="80"/>
      <c r="O116" s="61"/>
      <c r="P116" s="61"/>
      <c r="Q116" s="61"/>
      <c r="R116" s="61"/>
      <c r="S116" s="61"/>
      <c r="T116" s="61"/>
      <c r="U116" s="61"/>
      <c r="V116" s="81"/>
    </row>
    <row r="117" customFormat="false" ht="21" hidden="false" customHeight="true" outlineLevel="0" collapsed="false">
      <c r="A117" s="83"/>
      <c r="B117" s="63"/>
      <c r="C117" s="62"/>
      <c r="D117" s="62"/>
      <c r="E117" s="62"/>
      <c r="F117" s="62"/>
      <c r="G117" s="62"/>
      <c r="H117" s="62"/>
      <c r="I117" s="62"/>
      <c r="J117" s="63"/>
      <c r="K117" s="63"/>
      <c r="L117" s="46"/>
      <c r="M117" s="63"/>
      <c r="N117" s="80"/>
      <c r="O117" s="61"/>
      <c r="P117" s="61"/>
      <c r="Q117" s="61"/>
      <c r="R117" s="61"/>
      <c r="S117" s="61"/>
      <c r="T117" s="61"/>
      <c r="U117" s="61"/>
      <c r="V117" s="81"/>
    </row>
    <row r="118" customFormat="false" ht="21" hidden="false" customHeight="true" outlineLevel="0" collapsed="false">
      <c r="A118" s="83"/>
      <c r="B118" s="63"/>
      <c r="C118" s="62"/>
      <c r="D118" s="62"/>
      <c r="E118" s="62"/>
      <c r="F118" s="62"/>
      <c r="G118" s="62"/>
      <c r="H118" s="62"/>
      <c r="I118" s="62"/>
      <c r="J118" s="63"/>
      <c r="K118" s="63"/>
      <c r="L118" s="46"/>
      <c r="M118" s="63"/>
      <c r="N118" s="80"/>
      <c r="O118" s="61"/>
      <c r="P118" s="61"/>
      <c r="Q118" s="61"/>
      <c r="R118" s="61"/>
      <c r="S118" s="61"/>
      <c r="T118" s="61"/>
      <c r="U118" s="61"/>
      <c r="V118" s="81"/>
    </row>
    <row r="119" customFormat="false" ht="21" hidden="false" customHeight="true" outlineLevel="0" collapsed="false">
      <c r="A119" s="83"/>
      <c r="B119" s="63"/>
      <c r="C119" s="62"/>
      <c r="D119" s="62"/>
      <c r="E119" s="62"/>
      <c r="F119" s="62"/>
      <c r="G119" s="62"/>
      <c r="H119" s="62"/>
      <c r="I119" s="62"/>
      <c r="J119" s="63"/>
      <c r="K119" s="63"/>
      <c r="L119" s="46"/>
      <c r="M119" s="63"/>
      <c r="N119" s="80"/>
      <c r="O119" s="61"/>
      <c r="P119" s="61"/>
      <c r="Q119" s="61"/>
      <c r="R119" s="61"/>
      <c r="S119" s="61"/>
      <c r="T119" s="61"/>
      <c r="U119" s="61"/>
      <c r="V119" s="81"/>
    </row>
    <row r="120" customFormat="false" ht="21" hidden="false" customHeight="true" outlineLevel="0" collapsed="false">
      <c r="A120" s="83"/>
      <c r="B120" s="63"/>
      <c r="C120" s="62"/>
      <c r="D120" s="62"/>
      <c r="E120" s="62"/>
      <c r="F120" s="62"/>
      <c r="G120" s="62"/>
      <c r="H120" s="62"/>
      <c r="I120" s="62"/>
      <c r="J120" s="63"/>
      <c r="K120" s="63"/>
      <c r="L120" s="46"/>
      <c r="M120" s="63"/>
      <c r="N120" s="80"/>
      <c r="O120" s="61"/>
      <c r="P120" s="61"/>
      <c r="Q120" s="61"/>
      <c r="R120" s="61"/>
      <c r="S120" s="61"/>
      <c r="T120" s="61"/>
      <c r="U120" s="61"/>
      <c r="V120" s="81"/>
    </row>
    <row r="121" customFormat="false" ht="21" hidden="false" customHeight="true" outlineLevel="0" collapsed="false">
      <c r="A121" s="83"/>
      <c r="B121" s="63"/>
      <c r="C121" s="62"/>
      <c r="D121" s="62"/>
      <c r="E121" s="62"/>
      <c r="F121" s="62"/>
      <c r="G121" s="62"/>
      <c r="H121" s="62"/>
      <c r="I121" s="62"/>
      <c r="J121" s="63"/>
      <c r="K121" s="63"/>
      <c r="L121" s="46"/>
      <c r="M121" s="63"/>
      <c r="N121" s="80"/>
      <c r="O121" s="61"/>
      <c r="P121" s="61"/>
      <c r="Q121" s="61"/>
      <c r="R121" s="61"/>
      <c r="S121" s="61"/>
      <c r="T121" s="61"/>
      <c r="U121" s="61"/>
      <c r="V121" s="81"/>
    </row>
    <row r="122" customFormat="false" ht="21" hidden="false" customHeight="true" outlineLevel="0" collapsed="false">
      <c r="A122" s="83"/>
      <c r="B122" s="63"/>
      <c r="C122" s="62"/>
      <c r="D122" s="62"/>
      <c r="E122" s="62"/>
      <c r="F122" s="62"/>
      <c r="G122" s="62"/>
      <c r="H122" s="62"/>
      <c r="I122" s="62"/>
      <c r="J122" s="63"/>
      <c r="K122" s="63"/>
      <c r="L122" s="46"/>
      <c r="M122" s="63"/>
      <c r="N122" s="80"/>
      <c r="O122" s="61"/>
      <c r="P122" s="61"/>
      <c r="Q122" s="61"/>
      <c r="R122" s="61"/>
      <c r="S122" s="61"/>
      <c r="T122" s="61"/>
      <c r="U122" s="61"/>
      <c r="V122" s="81"/>
    </row>
    <row r="123" customFormat="false" ht="21" hidden="false" customHeight="true" outlineLevel="0" collapsed="false">
      <c r="A123" s="83"/>
      <c r="B123" s="63"/>
      <c r="C123" s="62"/>
      <c r="D123" s="62"/>
      <c r="E123" s="62"/>
      <c r="F123" s="62"/>
      <c r="G123" s="62"/>
      <c r="H123" s="62"/>
      <c r="I123" s="62"/>
      <c r="J123" s="63"/>
      <c r="K123" s="63"/>
      <c r="L123" s="46"/>
      <c r="M123" s="63"/>
      <c r="N123" s="80"/>
      <c r="O123" s="61"/>
      <c r="P123" s="61"/>
      <c r="Q123" s="61"/>
      <c r="R123" s="61"/>
      <c r="S123" s="61"/>
      <c r="T123" s="61"/>
      <c r="U123" s="61"/>
      <c r="V123" s="81"/>
    </row>
    <row r="124" customFormat="false" ht="21" hidden="false" customHeight="true" outlineLevel="0" collapsed="false">
      <c r="A124" s="83"/>
      <c r="B124" s="63"/>
      <c r="C124" s="62"/>
      <c r="D124" s="62"/>
      <c r="E124" s="62"/>
      <c r="F124" s="62"/>
      <c r="G124" s="62"/>
      <c r="H124" s="62"/>
      <c r="I124" s="62"/>
      <c r="J124" s="63"/>
      <c r="K124" s="63"/>
      <c r="L124" s="46"/>
      <c r="M124" s="63"/>
      <c r="N124" s="80"/>
      <c r="O124" s="61"/>
      <c r="P124" s="61"/>
      <c r="Q124" s="61"/>
      <c r="R124" s="61"/>
      <c r="S124" s="61"/>
      <c r="T124" s="61"/>
      <c r="U124" s="61"/>
      <c r="V124" s="81"/>
    </row>
    <row r="125" customFormat="false" ht="21" hidden="false" customHeight="true" outlineLevel="0" collapsed="false">
      <c r="A125" s="83"/>
      <c r="B125" s="63"/>
      <c r="C125" s="62"/>
      <c r="D125" s="62"/>
      <c r="E125" s="62"/>
      <c r="F125" s="62"/>
      <c r="G125" s="62"/>
      <c r="H125" s="62"/>
      <c r="I125" s="62"/>
      <c r="J125" s="63"/>
      <c r="K125" s="63"/>
      <c r="L125" s="46"/>
      <c r="M125" s="63"/>
      <c r="N125" s="80"/>
      <c r="O125" s="61"/>
      <c r="P125" s="61"/>
      <c r="Q125" s="61"/>
      <c r="R125" s="61"/>
      <c r="S125" s="61"/>
      <c r="T125" s="61"/>
      <c r="U125" s="61"/>
      <c r="V125" s="81"/>
    </row>
    <row r="126" customFormat="false" ht="21" hidden="false" customHeight="true" outlineLevel="0" collapsed="false">
      <c r="A126" s="83"/>
      <c r="B126" s="63"/>
      <c r="C126" s="62"/>
      <c r="D126" s="62"/>
      <c r="E126" s="62"/>
      <c r="F126" s="62"/>
      <c r="G126" s="62"/>
      <c r="H126" s="62"/>
      <c r="I126" s="62"/>
      <c r="J126" s="63"/>
      <c r="K126" s="63"/>
      <c r="L126" s="46"/>
      <c r="M126" s="63"/>
      <c r="N126" s="80"/>
      <c r="O126" s="61"/>
      <c r="P126" s="61"/>
      <c r="Q126" s="61"/>
      <c r="R126" s="61"/>
      <c r="S126" s="61"/>
      <c r="T126" s="61"/>
      <c r="U126" s="61"/>
      <c r="V126" s="81"/>
    </row>
    <row r="127" customFormat="false" ht="21" hidden="false" customHeight="true" outlineLevel="0" collapsed="false">
      <c r="A127" s="83"/>
      <c r="B127" s="63"/>
      <c r="C127" s="62"/>
      <c r="D127" s="62"/>
      <c r="E127" s="62"/>
      <c r="F127" s="62"/>
      <c r="G127" s="62"/>
      <c r="H127" s="62"/>
      <c r="I127" s="62"/>
      <c r="J127" s="63"/>
      <c r="K127" s="63"/>
      <c r="L127" s="46"/>
      <c r="M127" s="63"/>
      <c r="N127" s="80"/>
      <c r="O127" s="61"/>
      <c r="P127" s="61"/>
      <c r="Q127" s="61"/>
      <c r="R127" s="61"/>
      <c r="S127" s="61"/>
      <c r="T127" s="61"/>
      <c r="U127" s="61"/>
      <c r="V127" s="81"/>
    </row>
    <row r="128" customFormat="false" ht="21" hidden="false" customHeight="true" outlineLevel="0" collapsed="false">
      <c r="A128" s="83"/>
      <c r="B128" s="63"/>
      <c r="C128" s="62"/>
      <c r="D128" s="62"/>
      <c r="E128" s="62"/>
      <c r="F128" s="62"/>
      <c r="G128" s="62"/>
      <c r="H128" s="62"/>
      <c r="I128" s="62"/>
      <c r="J128" s="63"/>
      <c r="K128" s="63"/>
      <c r="L128" s="46"/>
      <c r="M128" s="63"/>
      <c r="N128" s="80"/>
      <c r="O128" s="61"/>
      <c r="P128" s="61"/>
      <c r="Q128" s="61"/>
      <c r="R128" s="61"/>
      <c r="S128" s="61"/>
      <c r="T128" s="61"/>
      <c r="U128" s="61"/>
      <c r="V128" s="81"/>
    </row>
    <row r="129" customFormat="false" ht="21" hidden="false" customHeight="true" outlineLevel="0" collapsed="false">
      <c r="A129" s="83"/>
      <c r="B129" s="63"/>
      <c r="C129" s="62"/>
      <c r="D129" s="62"/>
      <c r="E129" s="62"/>
      <c r="F129" s="62"/>
      <c r="G129" s="62"/>
      <c r="H129" s="62"/>
      <c r="I129" s="62"/>
      <c r="J129" s="63"/>
      <c r="K129" s="63"/>
      <c r="L129" s="46"/>
      <c r="M129" s="63"/>
      <c r="N129" s="80"/>
      <c r="O129" s="61"/>
      <c r="P129" s="61"/>
      <c r="Q129" s="61"/>
      <c r="R129" s="61"/>
      <c r="S129" s="61"/>
      <c r="T129" s="61"/>
      <c r="U129" s="61"/>
      <c r="V129" s="81"/>
    </row>
    <row r="130" customFormat="false" ht="21" hidden="false" customHeight="true" outlineLevel="0" collapsed="false">
      <c r="A130" s="83"/>
      <c r="B130" s="63"/>
      <c r="C130" s="62"/>
      <c r="D130" s="62"/>
      <c r="E130" s="62"/>
      <c r="F130" s="62"/>
      <c r="G130" s="62"/>
      <c r="H130" s="62"/>
      <c r="I130" s="62"/>
      <c r="J130" s="63"/>
      <c r="K130" s="63"/>
      <c r="L130" s="46"/>
      <c r="M130" s="63"/>
      <c r="N130" s="80"/>
      <c r="O130" s="61"/>
      <c r="P130" s="61"/>
      <c r="Q130" s="61"/>
      <c r="R130" s="61"/>
      <c r="S130" s="61"/>
      <c r="T130" s="61"/>
      <c r="U130" s="61"/>
      <c r="V130" s="81"/>
    </row>
    <row r="131" customFormat="false" ht="21" hidden="false" customHeight="true" outlineLevel="0" collapsed="false">
      <c r="A131" s="83"/>
      <c r="B131" s="63"/>
      <c r="C131" s="62"/>
      <c r="D131" s="62"/>
      <c r="E131" s="62"/>
      <c r="F131" s="62"/>
      <c r="G131" s="62"/>
      <c r="H131" s="62"/>
      <c r="I131" s="62"/>
      <c r="J131" s="63"/>
      <c r="K131" s="63"/>
      <c r="L131" s="46"/>
      <c r="M131" s="63"/>
      <c r="N131" s="80"/>
      <c r="O131" s="61"/>
      <c r="P131" s="61"/>
      <c r="Q131" s="61"/>
      <c r="R131" s="61"/>
      <c r="S131" s="61"/>
      <c r="T131" s="61"/>
      <c r="U131" s="61"/>
      <c r="V131" s="81"/>
    </row>
    <row r="132" customFormat="false" ht="21" hidden="false" customHeight="true" outlineLevel="0" collapsed="false">
      <c r="A132" s="83"/>
      <c r="B132" s="63"/>
      <c r="C132" s="62"/>
      <c r="D132" s="62"/>
      <c r="E132" s="62"/>
      <c r="F132" s="62"/>
      <c r="G132" s="62"/>
      <c r="H132" s="62"/>
      <c r="I132" s="62"/>
      <c r="J132" s="63"/>
      <c r="K132" s="63"/>
      <c r="L132" s="46"/>
      <c r="M132" s="63"/>
      <c r="N132" s="80"/>
      <c r="O132" s="61"/>
      <c r="P132" s="61"/>
      <c r="Q132" s="61"/>
      <c r="R132" s="61"/>
      <c r="S132" s="61"/>
      <c r="T132" s="61"/>
      <c r="U132" s="61"/>
      <c r="V132" s="81"/>
    </row>
    <row r="133" customFormat="false" ht="21" hidden="false" customHeight="true" outlineLevel="0" collapsed="false">
      <c r="A133" s="83"/>
      <c r="B133" s="63"/>
      <c r="C133" s="62"/>
      <c r="D133" s="62"/>
      <c r="E133" s="62"/>
      <c r="F133" s="62"/>
      <c r="G133" s="62"/>
      <c r="H133" s="62"/>
      <c r="I133" s="62"/>
      <c r="J133" s="63"/>
      <c r="K133" s="63"/>
      <c r="L133" s="46"/>
      <c r="M133" s="63"/>
      <c r="N133" s="80"/>
      <c r="O133" s="61"/>
      <c r="P133" s="61"/>
      <c r="Q133" s="61"/>
      <c r="R133" s="61"/>
      <c r="S133" s="61"/>
      <c r="T133" s="61"/>
      <c r="U133" s="61"/>
      <c r="V133" s="81"/>
    </row>
    <row r="134" customFormat="false" ht="21" hidden="false" customHeight="true" outlineLevel="0" collapsed="false">
      <c r="A134" s="83"/>
      <c r="B134" s="63"/>
      <c r="C134" s="62"/>
      <c r="D134" s="62"/>
      <c r="E134" s="62"/>
      <c r="F134" s="62"/>
      <c r="G134" s="62"/>
      <c r="H134" s="62"/>
      <c r="I134" s="62"/>
      <c r="J134" s="63"/>
      <c r="K134" s="63"/>
      <c r="L134" s="46"/>
      <c r="M134" s="63"/>
      <c r="N134" s="80"/>
      <c r="O134" s="61"/>
      <c r="P134" s="61"/>
      <c r="Q134" s="61"/>
      <c r="R134" s="61"/>
      <c r="S134" s="61"/>
      <c r="T134" s="61"/>
      <c r="U134" s="61"/>
      <c r="V134" s="81"/>
    </row>
    <row r="135" customFormat="false" ht="21" hidden="false" customHeight="true" outlineLevel="0" collapsed="false">
      <c r="A135" s="83"/>
      <c r="B135" s="63"/>
      <c r="C135" s="62"/>
      <c r="D135" s="62"/>
      <c r="E135" s="62"/>
      <c r="F135" s="62"/>
      <c r="G135" s="62"/>
      <c r="H135" s="62"/>
      <c r="I135" s="62"/>
      <c r="J135" s="63"/>
      <c r="K135" s="63"/>
      <c r="L135" s="46"/>
      <c r="M135" s="63"/>
      <c r="N135" s="80"/>
      <c r="O135" s="61"/>
      <c r="P135" s="61"/>
      <c r="Q135" s="61"/>
      <c r="R135" s="61"/>
      <c r="S135" s="61"/>
      <c r="T135" s="61"/>
      <c r="U135" s="61"/>
      <c r="V135" s="81"/>
    </row>
    <row r="136" customFormat="false" ht="21" hidden="false" customHeight="true" outlineLevel="0" collapsed="false">
      <c r="A136" s="83"/>
      <c r="B136" s="63"/>
      <c r="C136" s="62"/>
      <c r="D136" s="62"/>
      <c r="E136" s="62"/>
      <c r="F136" s="62"/>
      <c r="G136" s="62"/>
      <c r="H136" s="62"/>
      <c r="I136" s="62"/>
      <c r="J136" s="63"/>
      <c r="K136" s="63"/>
      <c r="L136" s="46"/>
      <c r="M136" s="63"/>
      <c r="N136" s="80"/>
      <c r="O136" s="61"/>
      <c r="P136" s="61"/>
      <c r="Q136" s="61"/>
      <c r="R136" s="61"/>
      <c r="S136" s="61"/>
      <c r="T136" s="61"/>
      <c r="U136" s="61"/>
      <c r="V136" s="81"/>
    </row>
    <row r="137" customFormat="false" ht="21" hidden="false" customHeight="true" outlineLevel="0" collapsed="false">
      <c r="A137" s="83"/>
      <c r="B137" s="63"/>
      <c r="C137" s="62"/>
      <c r="D137" s="62"/>
      <c r="E137" s="62"/>
      <c r="F137" s="62"/>
      <c r="G137" s="62"/>
      <c r="H137" s="62"/>
      <c r="I137" s="62"/>
      <c r="J137" s="63"/>
      <c r="K137" s="63"/>
      <c r="L137" s="46"/>
      <c r="M137" s="63"/>
      <c r="N137" s="80"/>
      <c r="O137" s="61"/>
      <c r="P137" s="61"/>
      <c r="Q137" s="61"/>
      <c r="R137" s="61"/>
      <c r="S137" s="61"/>
      <c r="T137" s="61"/>
      <c r="U137" s="61"/>
      <c r="V137" s="81"/>
    </row>
    <row r="138" customFormat="false" ht="21" hidden="false" customHeight="true" outlineLevel="0" collapsed="false">
      <c r="A138" s="83"/>
      <c r="B138" s="63"/>
      <c r="C138" s="62"/>
      <c r="D138" s="62"/>
      <c r="E138" s="62"/>
      <c r="F138" s="62"/>
      <c r="G138" s="62"/>
      <c r="H138" s="62"/>
      <c r="I138" s="62"/>
      <c r="J138" s="63"/>
      <c r="K138" s="63"/>
      <c r="L138" s="46"/>
      <c r="M138" s="63"/>
      <c r="N138" s="80"/>
      <c r="O138" s="61"/>
      <c r="P138" s="61"/>
      <c r="Q138" s="61"/>
      <c r="R138" s="61"/>
      <c r="S138" s="61"/>
      <c r="T138" s="61"/>
      <c r="U138" s="61"/>
      <c r="V138" s="81"/>
    </row>
    <row r="139" customFormat="false" ht="21" hidden="false" customHeight="true" outlineLevel="0" collapsed="false">
      <c r="A139" s="83"/>
      <c r="B139" s="63"/>
      <c r="C139" s="62"/>
      <c r="D139" s="62"/>
      <c r="E139" s="62"/>
      <c r="F139" s="62"/>
      <c r="G139" s="62"/>
      <c r="H139" s="62"/>
      <c r="I139" s="62"/>
      <c r="J139" s="63"/>
      <c r="K139" s="63"/>
      <c r="L139" s="46"/>
      <c r="M139" s="63"/>
      <c r="N139" s="80"/>
      <c r="O139" s="61"/>
      <c r="P139" s="61"/>
      <c r="Q139" s="61"/>
      <c r="R139" s="61"/>
      <c r="S139" s="61"/>
      <c r="T139" s="61"/>
      <c r="U139" s="61"/>
      <c r="V139" s="81"/>
    </row>
    <row r="140" customFormat="false" ht="21" hidden="false" customHeight="true" outlineLevel="0" collapsed="false">
      <c r="A140" s="83"/>
      <c r="B140" s="63"/>
      <c r="C140" s="62"/>
      <c r="D140" s="62"/>
      <c r="E140" s="62"/>
      <c r="F140" s="62"/>
      <c r="G140" s="62"/>
      <c r="H140" s="62"/>
      <c r="I140" s="62"/>
      <c r="J140" s="63"/>
      <c r="K140" s="63"/>
      <c r="L140" s="46"/>
      <c r="M140" s="63"/>
      <c r="N140" s="80"/>
      <c r="O140" s="61"/>
      <c r="P140" s="61"/>
      <c r="Q140" s="61"/>
      <c r="R140" s="61"/>
      <c r="S140" s="61"/>
      <c r="T140" s="61"/>
      <c r="U140" s="61"/>
      <c r="V140" s="81"/>
    </row>
    <row r="141" customFormat="false" ht="21" hidden="false" customHeight="true" outlineLevel="0" collapsed="false">
      <c r="A141" s="83"/>
      <c r="B141" s="63"/>
      <c r="C141" s="62"/>
      <c r="D141" s="62"/>
      <c r="E141" s="62"/>
      <c r="F141" s="62"/>
      <c r="G141" s="62"/>
      <c r="H141" s="62"/>
      <c r="I141" s="62"/>
      <c r="J141" s="63"/>
      <c r="K141" s="63"/>
      <c r="L141" s="46"/>
      <c r="M141" s="63"/>
      <c r="N141" s="80"/>
      <c r="O141" s="61"/>
      <c r="P141" s="61"/>
      <c r="Q141" s="61"/>
      <c r="R141" s="61"/>
      <c r="S141" s="61"/>
      <c r="T141" s="61"/>
      <c r="U141" s="61"/>
      <c r="V141" s="81"/>
    </row>
    <row r="142" customFormat="false" ht="21" hidden="false" customHeight="true" outlineLevel="0" collapsed="false">
      <c r="A142" s="83"/>
      <c r="B142" s="63"/>
      <c r="C142" s="62"/>
      <c r="D142" s="62"/>
      <c r="E142" s="62"/>
      <c r="F142" s="62"/>
      <c r="G142" s="62"/>
      <c r="H142" s="62"/>
      <c r="I142" s="62"/>
      <c r="J142" s="63"/>
      <c r="K142" s="63"/>
      <c r="L142" s="46"/>
      <c r="M142" s="63"/>
      <c r="N142" s="80"/>
      <c r="O142" s="61"/>
      <c r="P142" s="61"/>
      <c r="Q142" s="61"/>
      <c r="R142" s="61"/>
      <c r="S142" s="61"/>
      <c r="T142" s="61"/>
      <c r="U142" s="61"/>
      <c r="V142" s="81"/>
    </row>
    <row r="143" customFormat="false" ht="21" hidden="false" customHeight="true" outlineLevel="0" collapsed="false">
      <c r="A143" s="83"/>
      <c r="B143" s="63"/>
      <c r="C143" s="62"/>
      <c r="D143" s="62"/>
      <c r="E143" s="62"/>
      <c r="F143" s="62"/>
      <c r="G143" s="62"/>
      <c r="H143" s="62"/>
      <c r="I143" s="62"/>
      <c r="J143" s="63"/>
      <c r="K143" s="63"/>
      <c r="L143" s="46"/>
      <c r="M143" s="63"/>
      <c r="N143" s="80"/>
      <c r="O143" s="61"/>
      <c r="P143" s="61"/>
      <c r="Q143" s="61"/>
      <c r="R143" s="61"/>
      <c r="S143" s="61"/>
      <c r="T143" s="61"/>
      <c r="U143" s="61"/>
      <c r="V143" s="81"/>
    </row>
    <row r="144" customFormat="false" ht="21" hidden="false" customHeight="true" outlineLevel="0" collapsed="false">
      <c r="A144" s="83"/>
      <c r="B144" s="63"/>
      <c r="C144" s="62"/>
      <c r="D144" s="62"/>
      <c r="E144" s="62"/>
      <c r="F144" s="62"/>
      <c r="G144" s="62"/>
      <c r="H144" s="62"/>
      <c r="I144" s="62"/>
      <c r="J144" s="63"/>
      <c r="K144" s="63"/>
      <c r="L144" s="46"/>
      <c r="M144" s="63"/>
      <c r="N144" s="80"/>
      <c r="O144" s="61"/>
      <c r="P144" s="61"/>
      <c r="Q144" s="61"/>
      <c r="R144" s="61"/>
      <c r="S144" s="61"/>
      <c r="T144" s="61"/>
      <c r="U144" s="61"/>
      <c r="V144" s="81"/>
    </row>
    <row r="145" customFormat="false" ht="21" hidden="false" customHeight="true" outlineLevel="0" collapsed="false">
      <c r="A145" s="83"/>
      <c r="B145" s="63"/>
      <c r="C145" s="62"/>
      <c r="D145" s="62"/>
      <c r="E145" s="62"/>
      <c r="F145" s="62"/>
      <c r="G145" s="62"/>
      <c r="H145" s="62"/>
      <c r="I145" s="62"/>
      <c r="J145" s="63"/>
      <c r="K145" s="63"/>
      <c r="L145" s="46"/>
      <c r="M145" s="63"/>
      <c r="N145" s="80"/>
      <c r="O145" s="61"/>
      <c r="P145" s="61"/>
      <c r="Q145" s="61"/>
      <c r="R145" s="61"/>
      <c r="S145" s="61"/>
      <c r="T145" s="61"/>
      <c r="U145" s="61"/>
      <c r="V145" s="81"/>
    </row>
    <row r="146" customFormat="false" ht="21" hidden="false" customHeight="true" outlineLevel="0" collapsed="false">
      <c r="A146" s="20"/>
      <c r="B146" s="21"/>
      <c r="C146" s="84"/>
      <c r="D146" s="84"/>
      <c r="E146" s="84"/>
      <c r="F146" s="84"/>
      <c r="G146" s="84"/>
      <c r="H146" s="84"/>
      <c r="I146" s="84"/>
      <c r="J146" s="21"/>
      <c r="K146" s="21"/>
      <c r="L146" s="85"/>
      <c r="M146" s="21"/>
      <c r="N146" s="22"/>
      <c r="O146" s="86"/>
      <c r="P146" s="86"/>
      <c r="Q146" s="86"/>
      <c r="R146" s="86"/>
      <c r="S146" s="86"/>
      <c r="T146" s="86"/>
      <c r="U146" s="86"/>
      <c r="V146" s="87"/>
    </row>
    <row r="147" s="13" customFormat="true" ht="30" hidden="false" customHeight="true" outlineLevel="0" collapsed="false"/>
    <row r="1048576" customFormat="false" ht="12.8" hidden="false" customHeight="true" outlineLevel="0" collapsed="false"/>
  </sheetData>
  <mergeCells count="49">
    <mergeCell ref="A1:E1"/>
    <mergeCell ref="A7:L7"/>
    <mergeCell ref="A8:A9"/>
    <mergeCell ref="B8:B9"/>
    <mergeCell ref="C8:E8"/>
    <mergeCell ref="F8:H8"/>
    <mergeCell ref="I8:J8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A41:C41"/>
    <mergeCell ref="A42:A43"/>
    <mergeCell ref="B42:C42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A58:L58"/>
    <mergeCell ref="A59:A60"/>
    <mergeCell ref="B59:B60"/>
    <mergeCell ref="C59:E59"/>
    <mergeCell ref="F59:H59"/>
    <mergeCell ref="I59:J59"/>
    <mergeCell ref="K59:K60"/>
    <mergeCell ref="L59:L60"/>
    <mergeCell ref="M59:M60"/>
    <mergeCell ref="N59:N60"/>
    <mergeCell ref="O59:O60"/>
    <mergeCell ref="P59:P60"/>
    <mergeCell ref="Q59:Q60"/>
    <mergeCell ref="R59:R60"/>
    <mergeCell ref="S59:S60"/>
    <mergeCell ref="T59:T60"/>
    <mergeCell ref="U59:U60"/>
    <mergeCell ref="V59:V60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4.25" zeroHeight="false" outlineLevelRow="0" outlineLevelCol="0"/>
  <cols>
    <col collapsed="false" customWidth="true" hidden="false" outlineLevel="0" max="1" min="1" style="88" width="22.42"/>
    <col collapsed="false" customWidth="false" hidden="false" outlineLevel="0" max="2" min="2" style="89" width="9.14"/>
    <col collapsed="false" customWidth="true" hidden="false" outlineLevel="0" max="3" min="3" style="89" width="9.57"/>
    <col collapsed="false" customWidth="true" hidden="false" outlineLevel="0" max="4" min="4" style="89" width="8.42"/>
    <col collapsed="false" customWidth="true" hidden="false" outlineLevel="0" max="5" min="5" style="89" width="15.29"/>
    <col collapsed="false" customWidth="true" hidden="false" outlineLevel="0" max="6" min="6" style="89" width="13.86"/>
    <col collapsed="false" customWidth="true" hidden="false" outlineLevel="0" max="7" min="7" style="90" width="32.15"/>
    <col collapsed="false" customWidth="true" hidden="false" outlineLevel="0" max="8" min="8" style="91" width="26.71"/>
    <col collapsed="false" customWidth="false" hidden="false" outlineLevel="0" max="16384" min="9" style="91" width="9.14"/>
  </cols>
  <sheetData>
    <row r="1" s="13" customFormat="true" ht="14.25" hidden="false" customHeight="true" outlineLevel="0" collapsed="false">
      <c r="A1" s="92" t="s">
        <v>58</v>
      </c>
      <c r="B1" s="93" t="s">
        <v>59</v>
      </c>
      <c r="C1" s="93"/>
      <c r="D1" s="93"/>
      <c r="E1" s="93" t="s">
        <v>61</v>
      </c>
      <c r="F1" s="93"/>
      <c r="G1" s="94" t="s">
        <v>62</v>
      </c>
      <c r="H1" s="37" t="s">
        <v>62</v>
      </c>
    </row>
    <row r="2" s="96" customFormat="true" ht="14.25" hidden="false" customHeight="false" outlineLevel="0" collapsed="false">
      <c r="A2" s="92"/>
      <c r="B2" s="95" t="s">
        <v>64</v>
      </c>
      <c r="C2" s="95" t="s">
        <v>48</v>
      </c>
      <c r="D2" s="95" t="s">
        <v>49</v>
      </c>
      <c r="E2" s="95" t="s">
        <v>65</v>
      </c>
      <c r="F2" s="95" t="s">
        <v>66</v>
      </c>
      <c r="G2" s="94"/>
      <c r="H2" s="37"/>
    </row>
    <row r="3" customFormat="false" ht="14.25" hidden="false" customHeight="false" outlineLevel="0" collapsed="false">
      <c r="H3" s="91" t="e">
        <f aca="false">INDEX(Companies,MATCH(G3,StationIDs,0),1)</f>
        <v>#N/A</v>
      </c>
    </row>
    <row r="4" customFormat="false" ht="14.25" hidden="false" customHeight="false" outlineLevel="0" collapsed="false">
      <c r="H4" s="91" t="e">
        <f aca="false">INDEX(Companies,MATCH(G4,StationIDs,0),1)</f>
        <v>#N/A</v>
      </c>
    </row>
    <row r="5" customFormat="false" ht="14.25" hidden="false" customHeight="false" outlineLevel="0" collapsed="false">
      <c r="H5" s="91" t="e">
        <f aca="false">INDEX(Companies,MATCH(G5,StationIDs,0),1)</f>
        <v>#N/A</v>
      </c>
    </row>
    <row r="6" customFormat="false" ht="14.25" hidden="false" customHeight="false" outlineLevel="0" collapsed="false">
      <c r="H6" s="91" t="e">
        <f aca="false">INDEX(Companies,MATCH(G6,StationIDs,0),1)</f>
        <v>#N/A</v>
      </c>
    </row>
    <row r="7" customFormat="false" ht="14.25" hidden="false" customHeight="false" outlineLevel="0" collapsed="false">
      <c r="H7" s="91" t="e">
        <f aca="false">INDEX(Companies,MATCH(G7,StationIDs,0),1)</f>
        <v>#N/A</v>
      </c>
    </row>
    <row r="8" customFormat="false" ht="14.25" hidden="false" customHeight="false" outlineLevel="0" collapsed="false">
      <c r="H8" s="91" t="e">
        <f aca="false">INDEX(Companies,MATCH(G8,StationIDs,0),1)</f>
        <v>#N/A</v>
      </c>
    </row>
    <row r="9" customFormat="false" ht="14.25" hidden="false" customHeight="false" outlineLevel="0" collapsed="false">
      <c r="H9" s="91" t="e">
        <f aca="false">INDEX(Companies,MATCH(G9,StationIDs,0),1)</f>
        <v>#N/A</v>
      </c>
    </row>
    <row r="10" customFormat="false" ht="14.25" hidden="false" customHeight="false" outlineLevel="0" collapsed="false">
      <c r="H10" s="91" t="e">
        <f aca="false">INDEX(Companies,MATCH(G10,StationIDs,0),1)</f>
        <v>#N/A</v>
      </c>
    </row>
    <row r="11" customFormat="false" ht="14.25" hidden="false" customHeight="false" outlineLevel="0" collapsed="false">
      <c r="H11" s="91" t="e">
        <f aca="false">INDEX(Companies,MATCH(G11,StationIDs,0),1)</f>
        <v>#N/A</v>
      </c>
    </row>
    <row r="12" customFormat="false" ht="14.25" hidden="false" customHeight="false" outlineLevel="0" collapsed="false">
      <c r="H12" s="91" t="e">
        <f aca="false">INDEX(Companies,MATCH(G12,StationIDs,0),1)</f>
        <v>#N/A</v>
      </c>
    </row>
    <row r="13" customFormat="false" ht="14.25" hidden="false" customHeight="false" outlineLevel="0" collapsed="false">
      <c r="H13" s="91" t="e">
        <f aca="false">INDEX(Companies,MATCH(G13,StationIDs,0),1)</f>
        <v>#N/A</v>
      </c>
    </row>
    <row r="14" customFormat="false" ht="14.25" hidden="false" customHeight="false" outlineLevel="0" collapsed="false">
      <c r="H14" s="91" t="e">
        <f aca="false">INDEX(Companies,MATCH(G14,StationIDs,0),1)</f>
        <v>#N/A</v>
      </c>
    </row>
    <row r="15" customFormat="false" ht="14.25" hidden="false" customHeight="false" outlineLevel="0" collapsed="false">
      <c r="H15" s="91" t="e">
        <f aca="false">INDEX(Companies,MATCH(G15,StationIDs,0),1)</f>
        <v>#N/A</v>
      </c>
    </row>
    <row r="16" customFormat="false" ht="14.25" hidden="false" customHeight="false" outlineLevel="0" collapsed="false">
      <c r="H16" s="91" t="e">
        <f aca="false">INDEX(Companies,MATCH(G16,StationIDs,0),1)</f>
        <v>#N/A</v>
      </c>
    </row>
    <row r="17" customFormat="false" ht="14.25" hidden="false" customHeight="false" outlineLevel="0" collapsed="false">
      <c r="H17" s="91" t="e">
        <f aca="false">INDEX(Companies,MATCH(G17,StationIDs,0),1)</f>
        <v>#N/A</v>
      </c>
    </row>
    <row r="18" customFormat="false" ht="14.25" hidden="false" customHeight="false" outlineLevel="0" collapsed="false">
      <c r="H18" s="91" t="e">
        <f aca="false">INDEX(Companies,MATCH(G18,StationIDs,0),1)</f>
        <v>#N/A</v>
      </c>
    </row>
    <row r="19" customFormat="false" ht="14.25" hidden="false" customHeight="false" outlineLevel="0" collapsed="false">
      <c r="H19" s="91" t="e">
        <f aca="false">INDEX(Companies,MATCH(G19,StationIDs,0),1)</f>
        <v>#N/A</v>
      </c>
    </row>
    <row r="20" customFormat="false" ht="14.25" hidden="false" customHeight="false" outlineLevel="0" collapsed="false">
      <c r="H20" s="91" t="e">
        <f aca="false">INDEX(Companies,MATCH(G20,StationIDs,0),1)</f>
        <v>#N/A</v>
      </c>
    </row>
    <row r="21" customFormat="false" ht="14.25" hidden="false" customHeight="false" outlineLevel="0" collapsed="false">
      <c r="H21" s="91" t="e">
        <f aca="false">INDEX(Companies,MATCH(G21,StationIDs,0),1)</f>
        <v>#N/A</v>
      </c>
    </row>
    <row r="22" customFormat="false" ht="14.25" hidden="false" customHeight="false" outlineLevel="0" collapsed="false">
      <c r="H22" s="91" t="e">
        <f aca="false">INDEX(Companies,MATCH(G22,StationIDs,0),1)</f>
        <v>#N/A</v>
      </c>
    </row>
    <row r="23" customFormat="false" ht="14.25" hidden="false" customHeight="false" outlineLevel="0" collapsed="false">
      <c r="H23" s="91" t="e">
        <f aca="false">INDEX(Companies,MATCH(G23,StationIDs,0),1)</f>
        <v>#N/A</v>
      </c>
    </row>
    <row r="24" customFormat="false" ht="14.25" hidden="false" customHeight="false" outlineLevel="0" collapsed="false">
      <c r="H24" s="91" t="e">
        <f aca="false">INDEX(Companies,MATCH(G24,StationIDs,0),1)</f>
        <v>#N/A</v>
      </c>
    </row>
    <row r="25" customFormat="false" ht="14.25" hidden="false" customHeight="false" outlineLevel="0" collapsed="false">
      <c r="H25" s="91" t="e">
        <f aca="false">INDEX(Companies,MATCH(G25,StationIDs,0),1)</f>
        <v>#N/A</v>
      </c>
    </row>
    <row r="26" customFormat="false" ht="14.25" hidden="false" customHeight="false" outlineLevel="0" collapsed="false">
      <c r="H26" s="91" t="e">
        <f aca="false">INDEX(Companies,MATCH(G26,StationIDs,0),1)</f>
        <v>#N/A</v>
      </c>
    </row>
    <row r="27" customFormat="false" ht="14.25" hidden="false" customHeight="false" outlineLevel="0" collapsed="false">
      <c r="H27" s="91" t="e">
        <f aca="false">INDEX(Companies,MATCH(G27,StationIDs,0),1)</f>
        <v>#N/A</v>
      </c>
    </row>
    <row r="28" customFormat="false" ht="14.25" hidden="false" customHeight="false" outlineLevel="0" collapsed="false">
      <c r="H28" s="91" t="e">
        <f aca="false">INDEX(Companies,MATCH(G28,StationIDs,0),1)</f>
        <v>#N/A</v>
      </c>
    </row>
    <row r="29" customFormat="false" ht="14.25" hidden="false" customHeight="false" outlineLevel="0" collapsed="false">
      <c r="H29" s="91" t="e">
        <f aca="false">INDEX(Companies,MATCH(G29,StationIDs,0),1)</f>
        <v>#N/A</v>
      </c>
    </row>
    <row r="30" customFormat="false" ht="14.25" hidden="false" customHeight="false" outlineLevel="0" collapsed="false">
      <c r="H30" s="91" t="e">
        <f aca="false">INDEX(Companies,MATCH(G30,StationIDs,0),1)</f>
        <v>#N/A</v>
      </c>
    </row>
    <row r="31" customFormat="false" ht="14.25" hidden="false" customHeight="false" outlineLevel="0" collapsed="false">
      <c r="H31" s="91" t="e">
        <f aca="false">INDEX(Companies,MATCH(G31,StationIDs,0),1)</f>
        <v>#N/A</v>
      </c>
    </row>
    <row r="32" customFormat="false" ht="14.25" hidden="false" customHeight="false" outlineLevel="0" collapsed="false">
      <c r="H32" s="91" t="e">
        <f aca="false">INDEX(Companies,MATCH(G32,StationIDs,0),1)</f>
        <v>#N/A</v>
      </c>
    </row>
    <row r="33" customFormat="false" ht="14.25" hidden="false" customHeight="false" outlineLevel="0" collapsed="false">
      <c r="H33" s="91" t="e">
        <f aca="false">INDEX(Companies,MATCH(G33,StationIDs,0),1)</f>
        <v>#N/A</v>
      </c>
    </row>
    <row r="34" customFormat="false" ht="14.25" hidden="false" customHeight="false" outlineLevel="0" collapsed="false">
      <c r="H34" s="91" t="e">
        <f aca="false">INDEX(Companies,MATCH(G34,StationIDs,0),1)</f>
        <v>#N/A</v>
      </c>
    </row>
    <row r="35" customFormat="false" ht="14.25" hidden="false" customHeight="false" outlineLevel="0" collapsed="false">
      <c r="H35" s="91" t="e">
        <f aca="false">INDEX(Companies,MATCH(G35,StationIDs,0),1)</f>
        <v>#N/A</v>
      </c>
    </row>
    <row r="36" customFormat="false" ht="14.25" hidden="false" customHeight="false" outlineLevel="0" collapsed="false">
      <c r="H36" s="91" t="e">
        <f aca="false">INDEX(Companies,MATCH(G36,StationIDs,0),1)</f>
        <v>#N/A</v>
      </c>
    </row>
    <row r="37" customFormat="false" ht="14.25" hidden="false" customHeight="false" outlineLevel="0" collapsed="false">
      <c r="H37" s="91" t="e">
        <f aca="false">INDEX(Companies,MATCH(G37,StationIDs,0),1)</f>
        <v>#N/A</v>
      </c>
    </row>
    <row r="38" customFormat="false" ht="14.25" hidden="false" customHeight="false" outlineLevel="0" collapsed="false">
      <c r="H38" s="91" t="e">
        <f aca="false">INDEX(Companies,MATCH(G38,StationIDs,0),1)</f>
        <v>#N/A</v>
      </c>
    </row>
    <row r="39" customFormat="false" ht="14.25" hidden="false" customHeight="false" outlineLevel="0" collapsed="false">
      <c r="H39" s="91" t="e">
        <f aca="false">INDEX(Companies,MATCH(G39,StationIDs,0),1)</f>
        <v>#N/A</v>
      </c>
    </row>
    <row r="40" customFormat="false" ht="14.25" hidden="false" customHeight="false" outlineLevel="0" collapsed="false">
      <c r="H40" s="91" t="e">
        <f aca="false">INDEX(Companies,MATCH(G40,StationIDs,0),1)</f>
        <v>#N/A</v>
      </c>
    </row>
    <row r="41" customFormat="false" ht="14.25" hidden="false" customHeight="false" outlineLevel="0" collapsed="false">
      <c r="H41" s="91" t="e">
        <f aca="false">INDEX(Companies,MATCH(G41,StationIDs,0),1)</f>
        <v>#N/A</v>
      </c>
    </row>
    <row r="42" customFormat="false" ht="14.25" hidden="false" customHeight="false" outlineLevel="0" collapsed="false">
      <c r="H42" s="91" t="e">
        <f aca="false">INDEX(Companies,MATCH(G42,StationIDs,0),1)</f>
        <v>#N/A</v>
      </c>
    </row>
    <row r="43" customFormat="false" ht="14.25" hidden="false" customHeight="false" outlineLevel="0" collapsed="false">
      <c r="H43" s="91" t="e">
        <f aca="false">INDEX(Companies,MATCH(G43,StationIDs,0),1)</f>
        <v>#N/A</v>
      </c>
    </row>
    <row r="44" customFormat="false" ht="14.25" hidden="false" customHeight="false" outlineLevel="0" collapsed="false">
      <c r="H44" s="91" t="e">
        <f aca="false">INDEX(Companies,MATCH(G44,StationIDs,0),1)</f>
        <v>#N/A</v>
      </c>
    </row>
    <row r="45" customFormat="false" ht="14.25" hidden="false" customHeight="false" outlineLevel="0" collapsed="false">
      <c r="H45" s="91" t="e">
        <f aca="false">INDEX(Companies,MATCH(G45,StationIDs,0),1)</f>
        <v>#N/A</v>
      </c>
    </row>
    <row r="46" customFormat="false" ht="14.25" hidden="false" customHeight="false" outlineLevel="0" collapsed="false">
      <c r="H46" s="91" t="e">
        <f aca="false">INDEX(Companies,MATCH(G46,StationIDs,0),1)</f>
        <v>#N/A</v>
      </c>
    </row>
    <row r="47" customFormat="false" ht="14.25" hidden="false" customHeight="false" outlineLevel="0" collapsed="false">
      <c r="H47" s="91" t="e">
        <f aca="false">INDEX(Companies,MATCH(G47,StationIDs,0),1)</f>
        <v>#N/A</v>
      </c>
    </row>
    <row r="48" customFormat="false" ht="14.25" hidden="false" customHeight="false" outlineLevel="0" collapsed="false">
      <c r="H48" s="91" t="e">
        <f aca="false">INDEX(Companies,MATCH(G48,StationIDs,0),1)</f>
        <v>#N/A</v>
      </c>
    </row>
    <row r="49" customFormat="false" ht="14.25" hidden="false" customHeight="false" outlineLevel="0" collapsed="false">
      <c r="H49" s="91" t="e">
        <f aca="false">INDEX(Companies,MATCH(G49,StationIDs,0),1)</f>
        <v>#N/A</v>
      </c>
    </row>
    <row r="50" customFormat="false" ht="14.25" hidden="false" customHeight="false" outlineLevel="0" collapsed="false">
      <c r="H50" s="91" t="e">
        <f aca="false">INDEX(Companies,MATCH(G50,StationIDs,0),1)</f>
        <v>#N/A</v>
      </c>
    </row>
    <row r="51" customFormat="false" ht="14.25" hidden="false" customHeight="false" outlineLevel="0" collapsed="false">
      <c r="H51" s="91" t="e">
        <f aca="false">INDEX(Companies,MATCH(G51,StationIDs,0),1)</f>
        <v>#N/A</v>
      </c>
    </row>
    <row r="52" customFormat="false" ht="14.25" hidden="false" customHeight="false" outlineLevel="0" collapsed="false">
      <c r="H52" s="91" t="e">
        <f aca="false">INDEX(Companies,MATCH(G52,StationIDs,0),1)</f>
        <v>#N/A</v>
      </c>
    </row>
    <row r="53" customFormat="false" ht="14.25" hidden="false" customHeight="false" outlineLevel="0" collapsed="false">
      <c r="H53" s="91" t="e">
        <f aca="false">INDEX(Companies,MATCH(G53,StationIDs,0),1)</f>
        <v>#N/A</v>
      </c>
    </row>
    <row r="54" customFormat="false" ht="14.25" hidden="false" customHeight="false" outlineLevel="0" collapsed="false">
      <c r="H54" s="91" t="e">
        <f aca="false">INDEX(Companies,MATCH(G54,StationIDs,0),1)</f>
        <v>#N/A</v>
      </c>
    </row>
    <row r="55" customFormat="false" ht="14.25" hidden="false" customHeight="false" outlineLevel="0" collapsed="false">
      <c r="H55" s="91" t="e">
        <f aca="false">INDEX(Companies,MATCH(G55,StationIDs,0),1)</f>
        <v>#N/A</v>
      </c>
    </row>
    <row r="56" customFormat="false" ht="14.25" hidden="false" customHeight="false" outlineLevel="0" collapsed="false">
      <c r="H56" s="91" t="e">
        <f aca="false">INDEX(Companies,MATCH(G56,StationIDs,0),1)</f>
        <v>#N/A</v>
      </c>
    </row>
    <row r="57" customFormat="false" ht="14.25" hidden="false" customHeight="false" outlineLevel="0" collapsed="false">
      <c r="H57" s="91" t="e">
        <f aca="false">INDEX(Companies,MATCH(G57,StationIDs,0),1)</f>
        <v>#N/A</v>
      </c>
    </row>
    <row r="58" customFormat="false" ht="14.25" hidden="false" customHeight="false" outlineLevel="0" collapsed="false">
      <c r="H58" s="91" t="e">
        <f aca="false">INDEX(Companies,MATCH(G58,StationIDs,0),1)</f>
        <v>#N/A</v>
      </c>
    </row>
    <row r="59" customFormat="false" ht="14.25" hidden="false" customHeight="false" outlineLevel="0" collapsed="false">
      <c r="H59" s="91" t="e">
        <f aca="false">INDEX(Companies,MATCH(G59,StationIDs,0),1)</f>
        <v>#N/A</v>
      </c>
    </row>
    <row r="60" customFormat="false" ht="14.25" hidden="false" customHeight="false" outlineLevel="0" collapsed="false">
      <c r="H60" s="91" t="e">
        <f aca="false">INDEX(Companies,MATCH(G60,StationIDs,0),1)</f>
        <v>#N/A</v>
      </c>
    </row>
    <row r="61" customFormat="false" ht="14.25" hidden="false" customHeight="false" outlineLevel="0" collapsed="false">
      <c r="H61" s="91" t="e">
        <f aca="false">INDEX(Companies,MATCH(G61,StationIDs,0),1)</f>
        <v>#N/A</v>
      </c>
    </row>
    <row r="62" customFormat="false" ht="14.25" hidden="false" customHeight="false" outlineLevel="0" collapsed="false">
      <c r="H62" s="91" t="e">
        <f aca="false">INDEX(Companies,MATCH(G62,StationIDs,0),1)</f>
        <v>#N/A</v>
      </c>
    </row>
    <row r="63" customFormat="false" ht="14.25" hidden="false" customHeight="false" outlineLevel="0" collapsed="false">
      <c r="H63" s="91" t="e">
        <f aca="false">INDEX(Companies,MATCH(G63,StationIDs,0),1)</f>
        <v>#N/A</v>
      </c>
    </row>
    <row r="64" customFormat="false" ht="14.25" hidden="false" customHeight="false" outlineLevel="0" collapsed="false">
      <c r="H64" s="91" t="e">
        <f aca="false">INDEX(Companies,MATCH(G64,StationIDs,0),1)</f>
        <v>#N/A</v>
      </c>
    </row>
    <row r="65" customFormat="false" ht="14.25" hidden="false" customHeight="false" outlineLevel="0" collapsed="false">
      <c r="H65" s="91" t="e">
        <f aca="false">INDEX(Companies,MATCH(G65,StationIDs,0),1)</f>
        <v>#N/A</v>
      </c>
    </row>
    <row r="66" customFormat="false" ht="14.25" hidden="false" customHeight="false" outlineLevel="0" collapsed="false">
      <c r="H66" s="91" t="e">
        <f aca="false">INDEX(Companies,MATCH(G66,StationIDs,0),1)</f>
        <v>#N/A</v>
      </c>
    </row>
    <row r="67" customFormat="false" ht="14.25" hidden="false" customHeight="false" outlineLevel="0" collapsed="false">
      <c r="H67" s="91" t="e">
        <f aca="false">INDEX(Companies,MATCH(G67,StationIDs,0),1)</f>
        <v>#N/A</v>
      </c>
    </row>
    <row r="68" customFormat="false" ht="14.25" hidden="false" customHeight="false" outlineLevel="0" collapsed="false">
      <c r="H68" s="91" t="e">
        <f aca="false">INDEX(Companies,MATCH(G68,StationIDs,0),1)</f>
        <v>#N/A</v>
      </c>
    </row>
    <row r="69" customFormat="false" ht="14.25" hidden="false" customHeight="false" outlineLevel="0" collapsed="false">
      <c r="H69" s="91" t="e">
        <f aca="false">INDEX(Companies,MATCH(G69,StationIDs,0),1)</f>
        <v>#N/A</v>
      </c>
    </row>
    <row r="70" customFormat="false" ht="14.25" hidden="false" customHeight="false" outlineLevel="0" collapsed="false">
      <c r="H70" s="91" t="e">
        <f aca="false">INDEX(Companies,MATCH(G70,StationIDs,0),1)</f>
        <v>#N/A</v>
      </c>
    </row>
    <row r="71" customFormat="false" ht="14.25" hidden="false" customHeight="false" outlineLevel="0" collapsed="false">
      <c r="H71" s="91" t="e">
        <f aca="false">INDEX(Companies,MATCH(G71,StationIDs,0),1)</f>
        <v>#N/A</v>
      </c>
    </row>
    <row r="72" customFormat="false" ht="14.25" hidden="false" customHeight="false" outlineLevel="0" collapsed="false">
      <c r="H72" s="91" t="e">
        <f aca="false">INDEX(Companies,MATCH(G72,StationIDs,0),1)</f>
        <v>#N/A</v>
      </c>
    </row>
    <row r="73" customFormat="false" ht="14.25" hidden="false" customHeight="false" outlineLevel="0" collapsed="false">
      <c r="H73" s="91" t="e">
        <f aca="false">INDEX(Companies,MATCH(G73,StationIDs,0),1)</f>
        <v>#N/A</v>
      </c>
    </row>
    <row r="74" customFormat="false" ht="14.25" hidden="false" customHeight="false" outlineLevel="0" collapsed="false">
      <c r="H74" s="91" t="e">
        <f aca="false">INDEX(Companies,MATCH(G74,StationIDs,0),1)</f>
        <v>#N/A</v>
      </c>
    </row>
    <row r="75" customFormat="false" ht="14.25" hidden="false" customHeight="false" outlineLevel="0" collapsed="false">
      <c r="H75" s="91" t="e">
        <f aca="false">INDEX(Companies,MATCH(G75,StationIDs,0),1)</f>
        <v>#N/A</v>
      </c>
    </row>
    <row r="76" customFormat="false" ht="14.25" hidden="false" customHeight="false" outlineLevel="0" collapsed="false">
      <c r="H76" s="91" t="e">
        <f aca="false">INDEX(Companies,MATCH(G76,StationIDs,0),1)</f>
        <v>#N/A</v>
      </c>
    </row>
    <row r="77" customFormat="false" ht="14.25" hidden="false" customHeight="false" outlineLevel="0" collapsed="false">
      <c r="H77" s="91" t="e">
        <f aca="false">INDEX(Companies,MATCH(G77,StationIDs,0),1)</f>
        <v>#N/A</v>
      </c>
    </row>
    <row r="78" customFormat="false" ht="14.25" hidden="false" customHeight="false" outlineLevel="0" collapsed="false">
      <c r="H78" s="91" t="e">
        <f aca="false">INDEX(Companies,MATCH(G78,StationIDs,0),1)</f>
        <v>#N/A</v>
      </c>
    </row>
    <row r="79" customFormat="false" ht="14.25" hidden="false" customHeight="false" outlineLevel="0" collapsed="false">
      <c r="H79" s="91" t="e">
        <f aca="false">INDEX(Companies,MATCH(G79,StationIDs,0),1)</f>
        <v>#N/A</v>
      </c>
    </row>
    <row r="80" customFormat="false" ht="14.25" hidden="false" customHeight="false" outlineLevel="0" collapsed="false">
      <c r="H80" s="91" t="e">
        <f aca="false">INDEX(Companies,MATCH(G80,StationIDs,0),1)</f>
        <v>#N/A</v>
      </c>
    </row>
    <row r="81" customFormat="false" ht="14.25" hidden="false" customHeight="false" outlineLevel="0" collapsed="false">
      <c r="H81" s="91" t="e">
        <f aca="false">INDEX(Companies,MATCH(G81,StationIDs,0),1)</f>
        <v>#N/A</v>
      </c>
    </row>
    <row r="82" customFormat="false" ht="14.25" hidden="false" customHeight="false" outlineLevel="0" collapsed="false">
      <c r="H82" s="91" t="e">
        <f aca="false">INDEX(Companies,MATCH(G82,StationIDs,0),1)</f>
        <v>#N/A</v>
      </c>
    </row>
    <row r="83" customFormat="false" ht="14.25" hidden="false" customHeight="false" outlineLevel="0" collapsed="false">
      <c r="H83" s="91" t="e">
        <f aca="false">INDEX(Companies,MATCH(G83,StationIDs,0),1)</f>
        <v>#N/A</v>
      </c>
    </row>
    <row r="84" customFormat="false" ht="14.25" hidden="false" customHeight="false" outlineLevel="0" collapsed="false">
      <c r="H84" s="91" t="e">
        <f aca="false">INDEX(Companies,MATCH(G84,StationIDs,0),1)</f>
        <v>#N/A</v>
      </c>
    </row>
    <row r="85" customFormat="false" ht="14.25" hidden="false" customHeight="false" outlineLevel="0" collapsed="false">
      <c r="H85" s="91" t="e">
        <f aca="false">INDEX(Companies,MATCH(G85,StationIDs,0),1)</f>
        <v>#N/A</v>
      </c>
    </row>
    <row r="86" customFormat="false" ht="14.25" hidden="false" customHeight="false" outlineLevel="0" collapsed="false">
      <c r="H86" s="91" t="e">
        <f aca="false">INDEX(Companies,MATCH(G86,StationIDs,0),1)</f>
        <v>#N/A</v>
      </c>
    </row>
    <row r="87" customFormat="false" ht="14.25" hidden="false" customHeight="false" outlineLevel="0" collapsed="false">
      <c r="H87" s="91" t="e">
        <f aca="false">INDEX(Companies,MATCH(G87,StationIDs,0),1)</f>
        <v>#N/A</v>
      </c>
    </row>
    <row r="88" customFormat="false" ht="14.25" hidden="false" customHeight="false" outlineLevel="0" collapsed="false">
      <c r="H88" s="91" t="e">
        <f aca="false">INDEX(Companies,MATCH(G88,StationIDs,0),1)</f>
        <v>#N/A</v>
      </c>
    </row>
    <row r="89" customFormat="false" ht="14.25" hidden="false" customHeight="false" outlineLevel="0" collapsed="false">
      <c r="H89" s="91" t="e">
        <f aca="false">INDEX(Companies,MATCH(G89,StationIDs,0),1)</f>
        <v>#N/A</v>
      </c>
    </row>
    <row r="90" customFormat="false" ht="14.25" hidden="false" customHeight="false" outlineLevel="0" collapsed="false">
      <c r="H90" s="91" t="e">
        <f aca="false">INDEX(Companies,MATCH(G90,StationIDs,0),1)</f>
        <v>#N/A</v>
      </c>
    </row>
    <row r="91" customFormat="false" ht="14.25" hidden="false" customHeight="false" outlineLevel="0" collapsed="false">
      <c r="H91" s="91" t="e">
        <f aca="false">INDEX(Companies,MATCH(G91,StationIDs,0),1)</f>
        <v>#N/A</v>
      </c>
    </row>
    <row r="92" customFormat="false" ht="14.25" hidden="false" customHeight="false" outlineLevel="0" collapsed="false">
      <c r="H92" s="91" t="e">
        <f aca="false">INDEX(Companies,MATCH(G92,StationIDs,0),1)</f>
        <v>#N/A</v>
      </c>
    </row>
    <row r="93" customFormat="false" ht="14.25" hidden="false" customHeight="false" outlineLevel="0" collapsed="false">
      <c r="H93" s="91" t="e">
        <f aca="false">INDEX(Companies,MATCH(G93,StationIDs,0),1)</f>
        <v>#N/A</v>
      </c>
    </row>
    <row r="94" customFormat="false" ht="14.25" hidden="false" customHeight="false" outlineLevel="0" collapsed="false">
      <c r="H94" s="91" t="e">
        <f aca="false">INDEX(Companies,MATCH(G94,StationIDs,0),1)</f>
        <v>#N/A</v>
      </c>
    </row>
    <row r="95" customFormat="false" ht="14.25" hidden="false" customHeight="false" outlineLevel="0" collapsed="false">
      <c r="H95" s="91" t="e">
        <f aca="false">INDEX(Companies,MATCH(G95,StationIDs,0),1)</f>
        <v>#N/A</v>
      </c>
    </row>
    <row r="96" customFormat="false" ht="14.25" hidden="false" customHeight="false" outlineLevel="0" collapsed="false">
      <c r="H96" s="91" t="e">
        <f aca="false">INDEX(Companies,MATCH(G96,StationIDs,0),1)</f>
        <v>#N/A</v>
      </c>
    </row>
    <row r="97" customFormat="false" ht="14.25" hidden="false" customHeight="false" outlineLevel="0" collapsed="false">
      <c r="H97" s="91" t="e">
        <f aca="false">INDEX(Companies,MATCH(G97,StationIDs,0),1)</f>
        <v>#N/A</v>
      </c>
    </row>
    <row r="98" customFormat="false" ht="14.25" hidden="false" customHeight="false" outlineLevel="0" collapsed="false">
      <c r="H98" s="91" t="e">
        <f aca="false">INDEX(Companies,MATCH(G98,StationIDs,0),1)</f>
        <v>#N/A</v>
      </c>
    </row>
    <row r="99" customFormat="false" ht="14.25" hidden="false" customHeight="false" outlineLevel="0" collapsed="false">
      <c r="H99" s="91" t="e">
        <f aca="false">INDEX(Companies,MATCH(G99,StationIDs,0),1)</f>
        <v>#N/A</v>
      </c>
    </row>
    <row r="100" customFormat="false" ht="14.25" hidden="false" customHeight="false" outlineLevel="0" collapsed="false">
      <c r="H100" s="91" t="e">
        <f aca="false">INDEX(Companies,MATCH(G100,StationIDs,0),1)</f>
        <v>#N/A</v>
      </c>
    </row>
    <row r="101" customFormat="false" ht="14.25" hidden="false" customHeight="false" outlineLevel="0" collapsed="false">
      <c r="H101" s="91" t="e">
        <f aca="false">INDEX(Companies,MATCH(G101,StationIDs,0),1)</f>
        <v>#N/A</v>
      </c>
    </row>
    <row r="102" customFormat="false" ht="14.25" hidden="false" customHeight="false" outlineLevel="0" collapsed="false">
      <c r="H102" s="91" t="e">
        <f aca="false">INDEX(Companies,MATCH(G102,StationIDs,0),1)</f>
        <v>#N/A</v>
      </c>
    </row>
    <row r="103" customFormat="false" ht="14.25" hidden="false" customHeight="false" outlineLevel="0" collapsed="false">
      <c r="H103" s="91" t="e">
        <f aca="false">INDEX(Companies,MATCH(G103,StationIDs,0),1)</f>
        <v>#N/A</v>
      </c>
    </row>
    <row r="104" customFormat="false" ht="14.25" hidden="false" customHeight="false" outlineLevel="0" collapsed="false">
      <c r="H104" s="91" t="e">
        <f aca="false">INDEX(Companies,MATCH(G104,StationIDs,0),1)</f>
        <v>#N/A</v>
      </c>
    </row>
    <row r="105" customFormat="false" ht="14.25" hidden="false" customHeight="false" outlineLevel="0" collapsed="false">
      <c r="H105" s="91" t="e">
        <f aca="false">INDEX(Companies,MATCH(G105,StationIDs,0),1)</f>
        <v>#N/A</v>
      </c>
    </row>
    <row r="106" customFormat="false" ht="14.25" hidden="false" customHeight="false" outlineLevel="0" collapsed="false">
      <c r="H106" s="91" t="e">
        <f aca="false">INDEX(Companies,MATCH(G106,StationIDs,0),1)</f>
        <v>#N/A</v>
      </c>
    </row>
    <row r="107" customFormat="false" ht="14.25" hidden="false" customHeight="false" outlineLevel="0" collapsed="false">
      <c r="H107" s="91" t="e">
        <f aca="false">INDEX(Companies,MATCH(G107,StationIDs,0),1)</f>
        <v>#N/A</v>
      </c>
    </row>
    <row r="108" customFormat="false" ht="14.25" hidden="false" customHeight="false" outlineLevel="0" collapsed="false">
      <c r="H108" s="91" t="e">
        <f aca="false">INDEX(Companies,MATCH(G108,StationIDs,0),1)</f>
        <v>#N/A</v>
      </c>
    </row>
    <row r="109" customFormat="false" ht="14.25" hidden="false" customHeight="false" outlineLevel="0" collapsed="false">
      <c r="H109" s="91" t="e">
        <f aca="false">INDEX(Companies,MATCH(G109,StationIDs,0),1)</f>
        <v>#N/A</v>
      </c>
    </row>
    <row r="110" customFormat="false" ht="14.25" hidden="false" customHeight="false" outlineLevel="0" collapsed="false">
      <c r="H110" s="91" t="e">
        <f aca="false">INDEX(Companies,MATCH(G110,StationIDs,0),1)</f>
        <v>#N/A</v>
      </c>
    </row>
    <row r="111" customFormat="false" ht="14.25" hidden="false" customHeight="false" outlineLevel="0" collapsed="false">
      <c r="H111" s="91" t="e">
        <f aca="false">INDEX(Companies,MATCH(G111,StationIDs,0),1)</f>
        <v>#N/A</v>
      </c>
    </row>
    <row r="112" customFormat="false" ht="14.25" hidden="false" customHeight="false" outlineLevel="0" collapsed="false">
      <c r="H112" s="91" t="e">
        <f aca="false">INDEX(Companies,MATCH(G112,StationIDs,0),1)</f>
        <v>#N/A</v>
      </c>
    </row>
    <row r="113" customFormat="false" ht="14.25" hidden="false" customHeight="false" outlineLevel="0" collapsed="false">
      <c r="H113" s="91" t="e">
        <f aca="false">INDEX(Companies,MATCH(G113,StationIDs,0),1)</f>
        <v>#N/A</v>
      </c>
    </row>
    <row r="114" customFormat="false" ht="14.25" hidden="false" customHeight="false" outlineLevel="0" collapsed="false">
      <c r="H114" s="91" t="e">
        <f aca="false">INDEX(Companies,MATCH(G114,StationIDs,0),1)</f>
        <v>#N/A</v>
      </c>
    </row>
    <row r="115" customFormat="false" ht="14.25" hidden="false" customHeight="false" outlineLevel="0" collapsed="false">
      <c r="H115" s="91" t="e">
        <f aca="false">INDEX(Companies,MATCH(G115,StationIDs,0),1)</f>
        <v>#N/A</v>
      </c>
    </row>
    <row r="116" customFormat="false" ht="14.25" hidden="false" customHeight="false" outlineLevel="0" collapsed="false">
      <c r="H116" s="91" t="e">
        <f aca="false">INDEX(Companies,MATCH(G116,StationIDs,0),1)</f>
        <v>#N/A</v>
      </c>
    </row>
    <row r="117" customFormat="false" ht="14.25" hidden="false" customHeight="false" outlineLevel="0" collapsed="false">
      <c r="H117" s="91" t="e">
        <f aca="false">INDEX(Companies,MATCH(G117,StationIDs,0),1)</f>
        <v>#N/A</v>
      </c>
    </row>
    <row r="118" customFormat="false" ht="14.25" hidden="false" customHeight="false" outlineLevel="0" collapsed="false">
      <c r="H118" s="91" t="e">
        <f aca="false">INDEX(Companies,MATCH(G118,StationIDs,0),1)</f>
        <v>#N/A</v>
      </c>
    </row>
    <row r="119" customFormat="false" ht="14.25" hidden="false" customHeight="false" outlineLevel="0" collapsed="false">
      <c r="H119" s="91" t="e">
        <f aca="false">INDEX(Companies,MATCH(G119,StationIDs,0),1)</f>
        <v>#N/A</v>
      </c>
    </row>
    <row r="120" customFormat="false" ht="14.25" hidden="false" customHeight="false" outlineLevel="0" collapsed="false">
      <c r="H120" s="91" t="e">
        <f aca="false">INDEX(Companies,MATCH(G120,StationIDs,0),1)</f>
        <v>#N/A</v>
      </c>
    </row>
    <row r="121" customFormat="false" ht="14.25" hidden="false" customHeight="false" outlineLevel="0" collapsed="false">
      <c r="H121" s="91" t="e">
        <f aca="false">INDEX(Companies,MATCH(G121,StationIDs,0),1)</f>
        <v>#N/A</v>
      </c>
    </row>
    <row r="122" customFormat="false" ht="14.25" hidden="false" customHeight="false" outlineLevel="0" collapsed="false">
      <c r="H122" s="91" t="e">
        <f aca="false">INDEX(Companies,MATCH(G122,StationIDs,0),1)</f>
        <v>#N/A</v>
      </c>
    </row>
    <row r="123" customFormat="false" ht="14.25" hidden="false" customHeight="false" outlineLevel="0" collapsed="false">
      <c r="H123" s="91" t="e">
        <f aca="false">INDEX(Companies,MATCH(G123,StationIDs,0),1)</f>
        <v>#N/A</v>
      </c>
    </row>
    <row r="124" customFormat="false" ht="14.25" hidden="false" customHeight="false" outlineLevel="0" collapsed="false">
      <c r="H124" s="91" t="e">
        <f aca="false">INDEX(Companies,MATCH(G124,StationIDs,0),1)</f>
        <v>#N/A</v>
      </c>
    </row>
    <row r="125" customFormat="false" ht="14.25" hidden="false" customHeight="false" outlineLevel="0" collapsed="false">
      <c r="H125" s="91" t="e">
        <f aca="false">INDEX(Companies,MATCH(G125,StationIDs,0),1)</f>
        <v>#N/A</v>
      </c>
    </row>
    <row r="126" customFormat="false" ht="14.25" hidden="false" customHeight="false" outlineLevel="0" collapsed="false">
      <c r="H126" s="91" t="e">
        <f aca="false">INDEX(Companies,MATCH(G126,StationIDs,0),1)</f>
        <v>#N/A</v>
      </c>
    </row>
    <row r="127" customFormat="false" ht="14.25" hidden="false" customHeight="false" outlineLevel="0" collapsed="false">
      <c r="H127" s="91" t="e">
        <f aca="false">INDEX(Companies,MATCH(G127,StationIDs,0),1)</f>
        <v>#N/A</v>
      </c>
    </row>
    <row r="128" customFormat="false" ht="14.25" hidden="false" customHeight="false" outlineLevel="0" collapsed="false">
      <c r="H128" s="91" t="e">
        <f aca="false">INDEX(Companies,MATCH(G128,StationIDs,0),1)</f>
        <v>#N/A</v>
      </c>
    </row>
    <row r="129" customFormat="false" ht="14.25" hidden="false" customHeight="false" outlineLevel="0" collapsed="false">
      <c r="H129" s="91" t="e">
        <f aca="false">INDEX(Companies,MATCH(G129,StationIDs,0),1)</f>
        <v>#N/A</v>
      </c>
    </row>
    <row r="130" customFormat="false" ht="14.25" hidden="false" customHeight="false" outlineLevel="0" collapsed="false">
      <c r="H130" s="91" t="e">
        <f aca="false">INDEX(Companies,MATCH(G130,StationIDs,0),1)</f>
        <v>#N/A</v>
      </c>
    </row>
    <row r="131" customFormat="false" ht="14.25" hidden="false" customHeight="false" outlineLevel="0" collapsed="false">
      <c r="H131" s="91" t="e">
        <f aca="false">INDEX(Companies,MATCH(G131,StationIDs,0),1)</f>
        <v>#N/A</v>
      </c>
    </row>
    <row r="132" customFormat="false" ht="14.25" hidden="false" customHeight="false" outlineLevel="0" collapsed="false">
      <c r="H132" s="91" t="e">
        <f aca="false">INDEX(Companies,MATCH(G132,StationIDs,0),1)</f>
        <v>#N/A</v>
      </c>
    </row>
    <row r="133" customFormat="false" ht="14.25" hidden="false" customHeight="false" outlineLevel="0" collapsed="false">
      <c r="H133" s="91" t="e">
        <f aca="false">INDEX(Companies,MATCH(G133,StationIDs,0),1)</f>
        <v>#N/A</v>
      </c>
    </row>
    <row r="134" customFormat="false" ht="14.25" hidden="false" customHeight="false" outlineLevel="0" collapsed="false">
      <c r="H134" s="91" t="e">
        <f aca="false">INDEX(Companies,MATCH(G134,StationIDs,0),1)</f>
        <v>#N/A</v>
      </c>
    </row>
    <row r="135" customFormat="false" ht="14.25" hidden="false" customHeight="false" outlineLevel="0" collapsed="false">
      <c r="H135" s="91" t="e">
        <f aca="false">INDEX(Companies,MATCH(G135,StationIDs,0),1)</f>
        <v>#N/A</v>
      </c>
    </row>
    <row r="136" customFormat="false" ht="14.25" hidden="false" customHeight="false" outlineLevel="0" collapsed="false">
      <c r="H136" s="91" t="e">
        <f aca="false">INDEX(Companies,MATCH(G136,StationIDs,0),1)</f>
        <v>#N/A</v>
      </c>
    </row>
    <row r="137" customFormat="false" ht="14.25" hidden="false" customHeight="false" outlineLevel="0" collapsed="false">
      <c r="H137" s="91" t="e">
        <f aca="false">INDEX(Companies,MATCH(G137,StationIDs,0),1)</f>
        <v>#N/A</v>
      </c>
    </row>
    <row r="138" customFormat="false" ht="14.25" hidden="false" customHeight="false" outlineLevel="0" collapsed="false">
      <c r="H138" s="91" t="e">
        <f aca="false">INDEX(Companies,MATCH(G138,StationIDs,0),1)</f>
        <v>#N/A</v>
      </c>
    </row>
    <row r="139" customFormat="false" ht="14.25" hidden="false" customHeight="false" outlineLevel="0" collapsed="false">
      <c r="H139" s="91" t="e">
        <f aca="false">INDEX(Companies,MATCH(G139,StationIDs,0),1)</f>
        <v>#N/A</v>
      </c>
    </row>
    <row r="140" customFormat="false" ht="14.25" hidden="false" customHeight="false" outlineLevel="0" collapsed="false">
      <c r="H140" s="91" t="e">
        <f aca="false">INDEX(Companies,MATCH(G140,StationIDs,0),1)</f>
        <v>#N/A</v>
      </c>
    </row>
    <row r="141" customFormat="false" ht="14.25" hidden="false" customHeight="false" outlineLevel="0" collapsed="false">
      <c r="H141" s="91" t="e">
        <f aca="false">INDEX(Companies,MATCH(G141,StationIDs,0),1)</f>
        <v>#N/A</v>
      </c>
    </row>
    <row r="142" customFormat="false" ht="14.25" hidden="false" customHeight="false" outlineLevel="0" collapsed="false">
      <c r="H142" s="91" t="e">
        <f aca="false">INDEX(Companies,MATCH(G142,StationIDs,0),1)</f>
        <v>#N/A</v>
      </c>
    </row>
    <row r="143" customFormat="false" ht="14.25" hidden="false" customHeight="false" outlineLevel="0" collapsed="false">
      <c r="H143" s="91" t="e">
        <f aca="false">INDEX(Companies,MATCH(G143,StationIDs,0),1)</f>
        <v>#N/A</v>
      </c>
    </row>
    <row r="144" customFormat="false" ht="14.25" hidden="false" customHeight="false" outlineLevel="0" collapsed="false">
      <c r="H144" s="91" t="e">
        <f aca="false">INDEX(Companies,MATCH(G144,StationIDs,0),1)</f>
        <v>#N/A</v>
      </c>
    </row>
    <row r="145" customFormat="false" ht="14.25" hidden="false" customHeight="false" outlineLevel="0" collapsed="false">
      <c r="H145" s="91" t="e">
        <f aca="false">INDEX(Companies,MATCH(G145,StationIDs,0),1)</f>
        <v>#N/A</v>
      </c>
    </row>
    <row r="146" customFormat="false" ht="14.25" hidden="false" customHeight="false" outlineLevel="0" collapsed="false">
      <c r="H146" s="91" t="e">
        <f aca="false">INDEX(Companies,MATCH(G146,StationIDs,0),1)</f>
        <v>#N/A</v>
      </c>
    </row>
    <row r="147" customFormat="false" ht="14.25" hidden="false" customHeight="false" outlineLevel="0" collapsed="false">
      <c r="H147" s="91" t="e">
        <f aca="false">INDEX(Companies,MATCH(G147,StationIDs,0),1)</f>
        <v>#N/A</v>
      </c>
    </row>
    <row r="148" customFormat="false" ht="14.25" hidden="false" customHeight="false" outlineLevel="0" collapsed="false">
      <c r="H148" s="91" t="e">
        <f aca="false">INDEX(Companies,MATCH(G148,StationIDs,0),1)</f>
        <v>#N/A</v>
      </c>
    </row>
    <row r="149" customFormat="false" ht="14.25" hidden="false" customHeight="false" outlineLevel="0" collapsed="false">
      <c r="H149" s="91" t="e">
        <f aca="false">INDEX(Companies,MATCH(G149,StationIDs,0),1)</f>
        <v>#N/A</v>
      </c>
    </row>
    <row r="150" customFormat="false" ht="14.25" hidden="false" customHeight="false" outlineLevel="0" collapsed="false">
      <c r="H150" s="91" t="e">
        <f aca="false">INDEX(Companies,MATCH(G150,StationIDs,0),1)</f>
        <v>#N/A</v>
      </c>
    </row>
    <row r="151" customFormat="false" ht="14.25" hidden="false" customHeight="false" outlineLevel="0" collapsed="false">
      <c r="H151" s="91" t="e">
        <f aca="false">INDEX(Companies,MATCH(G151,StationIDs,0),1)</f>
        <v>#N/A</v>
      </c>
    </row>
    <row r="152" customFormat="false" ht="14.25" hidden="false" customHeight="false" outlineLevel="0" collapsed="false">
      <c r="H152" s="91" t="e">
        <f aca="false">INDEX(Companies,MATCH(G152,StationIDs,0),1)</f>
        <v>#N/A</v>
      </c>
    </row>
    <row r="153" customFormat="false" ht="14.25" hidden="false" customHeight="false" outlineLevel="0" collapsed="false">
      <c r="H153" s="91" t="e">
        <f aca="false">INDEX(Companies,MATCH(G153,StationIDs,0),1)</f>
        <v>#N/A</v>
      </c>
    </row>
    <row r="154" customFormat="false" ht="14.25" hidden="false" customHeight="false" outlineLevel="0" collapsed="false">
      <c r="H154" s="91" t="e">
        <f aca="false">INDEX(Companies,MATCH(G154,StationIDs,0),1)</f>
        <v>#N/A</v>
      </c>
    </row>
    <row r="155" customFormat="false" ht="14.25" hidden="false" customHeight="false" outlineLevel="0" collapsed="false">
      <c r="H155" s="91" t="e">
        <f aca="false">INDEX(Companies,MATCH(G155,StationIDs,0),1)</f>
        <v>#N/A</v>
      </c>
    </row>
    <row r="156" customFormat="false" ht="14.25" hidden="false" customHeight="false" outlineLevel="0" collapsed="false">
      <c r="H156" s="91" t="e">
        <f aca="false">INDEX(Companies,MATCH(G156,StationIDs,0),1)</f>
        <v>#N/A</v>
      </c>
    </row>
    <row r="157" customFormat="false" ht="14.25" hidden="false" customHeight="false" outlineLevel="0" collapsed="false">
      <c r="H157" s="91" t="e">
        <f aca="false">INDEX(Companies,MATCH(G157,StationIDs,0),1)</f>
        <v>#N/A</v>
      </c>
    </row>
    <row r="158" customFormat="false" ht="14.25" hidden="false" customHeight="false" outlineLevel="0" collapsed="false">
      <c r="H158" s="91" t="e">
        <f aca="false">INDEX(Companies,MATCH(G158,StationIDs,0),1)</f>
        <v>#N/A</v>
      </c>
    </row>
    <row r="159" customFormat="false" ht="14.25" hidden="false" customHeight="false" outlineLevel="0" collapsed="false">
      <c r="H159" s="91" t="e">
        <f aca="false">INDEX(Companies,MATCH(G159,StationIDs,0),1)</f>
        <v>#N/A</v>
      </c>
    </row>
    <row r="160" customFormat="false" ht="14.25" hidden="false" customHeight="false" outlineLevel="0" collapsed="false">
      <c r="H160" s="91" t="e">
        <f aca="false">INDEX(Companies,MATCH(G160,StationIDs,0),1)</f>
        <v>#N/A</v>
      </c>
    </row>
    <row r="161" customFormat="false" ht="14.25" hidden="false" customHeight="false" outlineLevel="0" collapsed="false">
      <c r="H161" s="91" t="e">
        <f aca="false">INDEX(Companies,MATCH(G161,StationIDs,0),1)</f>
        <v>#N/A</v>
      </c>
    </row>
    <row r="162" customFormat="false" ht="14.25" hidden="false" customHeight="false" outlineLevel="0" collapsed="false">
      <c r="H162" s="91" t="e">
        <f aca="false">INDEX(Companies,MATCH(G162,StationIDs,0),1)</f>
        <v>#N/A</v>
      </c>
    </row>
    <row r="163" customFormat="false" ht="14.25" hidden="false" customHeight="false" outlineLevel="0" collapsed="false">
      <c r="H163" s="91" t="e">
        <f aca="false">INDEX(Companies,MATCH(G163,StationIDs,0),1)</f>
        <v>#N/A</v>
      </c>
    </row>
    <row r="164" customFormat="false" ht="14.25" hidden="false" customHeight="false" outlineLevel="0" collapsed="false">
      <c r="H164" s="91" t="e">
        <f aca="false">INDEX(Companies,MATCH(G164,StationIDs,0),1)</f>
        <v>#N/A</v>
      </c>
    </row>
    <row r="165" customFormat="false" ht="14.25" hidden="false" customHeight="false" outlineLevel="0" collapsed="false">
      <c r="H165" s="91" t="e">
        <f aca="false">INDEX(Companies,MATCH(G165,StationIDs,0),1)</f>
        <v>#N/A</v>
      </c>
    </row>
    <row r="166" customFormat="false" ht="14.25" hidden="false" customHeight="false" outlineLevel="0" collapsed="false">
      <c r="H166" s="91" t="e">
        <f aca="false">INDEX(Companies,MATCH(G166,StationIDs,0),1)</f>
        <v>#N/A</v>
      </c>
    </row>
    <row r="167" customFormat="false" ht="14.25" hidden="false" customHeight="false" outlineLevel="0" collapsed="false">
      <c r="H167" s="91" t="e">
        <f aca="false">INDEX(Companies,MATCH(G167,StationIDs,0),1)</f>
        <v>#N/A</v>
      </c>
    </row>
    <row r="168" customFormat="false" ht="14.25" hidden="false" customHeight="false" outlineLevel="0" collapsed="false">
      <c r="H168" s="91" t="e">
        <f aca="false">INDEX(Companies,MATCH(G168,StationIDs,0),1)</f>
        <v>#N/A</v>
      </c>
    </row>
    <row r="169" customFormat="false" ht="14.25" hidden="false" customHeight="false" outlineLevel="0" collapsed="false">
      <c r="H169" s="91" t="e">
        <f aca="false">INDEX(Companies,MATCH(G169,StationIDs,0),1)</f>
        <v>#N/A</v>
      </c>
    </row>
    <row r="170" customFormat="false" ht="14.25" hidden="false" customHeight="false" outlineLevel="0" collapsed="false">
      <c r="H170" s="91" t="e">
        <f aca="false">INDEX(Companies,MATCH(G170,StationIDs,0),1)</f>
        <v>#N/A</v>
      </c>
    </row>
    <row r="171" customFormat="false" ht="14.25" hidden="false" customHeight="false" outlineLevel="0" collapsed="false">
      <c r="H171" s="91" t="e">
        <f aca="false">INDEX(Companies,MATCH(G171,StationIDs,0),1)</f>
        <v>#N/A</v>
      </c>
    </row>
    <row r="172" customFormat="false" ht="14.25" hidden="false" customHeight="false" outlineLevel="0" collapsed="false">
      <c r="H172" s="91" t="e">
        <f aca="false">INDEX(Companies,MATCH(G172,StationIDs,0),1)</f>
        <v>#N/A</v>
      </c>
    </row>
    <row r="173" customFormat="false" ht="14.25" hidden="false" customHeight="false" outlineLevel="0" collapsed="false">
      <c r="H173" s="91" t="e">
        <f aca="false">INDEX(Companies,MATCH(G173,StationIDs,0),1)</f>
        <v>#N/A</v>
      </c>
    </row>
    <row r="174" customFormat="false" ht="14.25" hidden="false" customHeight="false" outlineLevel="0" collapsed="false">
      <c r="H174" s="91" t="e">
        <f aca="false">INDEX(Companies,MATCH(G174,StationIDs,0),1)</f>
        <v>#N/A</v>
      </c>
    </row>
    <row r="175" customFormat="false" ht="14.25" hidden="false" customHeight="false" outlineLevel="0" collapsed="false">
      <c r="H175" s="91" t="e">
        <f aca="false">INDEX(Companies,MATCH(G175,StationIDs,0),1)</f>
        <v>#N/A</v>
      </c>
    </row>
    <row r="176" customFormat="false" ht="14.25" hidden="false" customHeight="false" outlineLevel="0" collapsed="false">
      <c r="H176" s="91" t="e">
        <f aca="false">INDEX(Companies,MATCH(G176,StationIDs,0),1)</f>
        <v>#N/A</v>
      </c>
    </row>
    <row r="177" customFormat="false" ht="14.25" hidden="false" customHeight="false" outlineLevel="0" collapsed="false">
      <c r="H177" s="91" t="e">
        <f aca="false">INDEX(Companies,MATCH(G177,StationIDs,0),1)</f>
        <v>#N/A</v>
      </c>
    </row>
    <row r="178" customFormat="false" ht="14.25" hidden="false" customHeight="false" outlineLevel="0" collapsed="false">
      <c r="H178" s="91" t="e">
        <f aca="false">INDEX(Companies,MATCH(G178,StationIDs,0),1)</f>
        <v>#N/A</v>
      </c>
    </row>
    <row r="179" customFormat="false" ht="14.25" hidden="false" customHeight="false" outlineLevel="0" collapsed="false">
      <c r="H179" s="91" t="e">
        <f aca="false">INDEX(Companies,MATCH(G179,StationIDs,0),1)</f>
        <v>#N/A</v>
      </c>
    </row>
    <row r="180" customFormat="false" ht="14.25" hidden="false" customHeight="false" outlineLevel="0" collapsed="false">
      <c r="H180" s="91" t="e">
        <f aca="false">INDEX(Companies,MATCH(G180,StationIDs,0),1)</f>
        <v>#N/A</v>
      </c>
    </row>
    <row r="181" customFormat="false" ht="14.25" hidden="false" customHeight="false" outlineLevel="0" collapsed="false">
      <c r="H181" s="91" t="e">
        <f aca="false">INDEX(Companies,MATCH(G181,StationIDs,0),1)</f>
        <v>#N/A</v>
      </c>
    </row>
    <row r="182" customFormat="false" ht="14.25" hidden="false" customHeight="false" outlineLevel="0" collapsed="false">
      <c r="H182" s="91" t="e">
        <f aca="false">INDEX(Companies,MATCH(G182,StationIDs,0),1)</f>
        <v>#N/A</v>
      </c>
    </row>
    <row r="183" customFormat="false" ht="14.25" hidden="false" customHeight="false" outlineLevel="0" collapsed="false">
      <c r="H183" s="91" t="e">
        <f aca="false">INDEX(Companies,MATCH(G183,StationIDs,0),1)</f>
        <v>#N/A</v>
      </c>
    </row>
    <row r="184" customFormat="false" ht="14.25" hidden="false" customHeight="false" outlineLevel="0" collapsed="false">
      <c r="H184" s="91" t="e">
        <f aca="false">INDEX(Companies,MATCH(G184,StationIDs,0),1)</f>
        <v>#N/A</v>
      </c>
    </row>
    <row r="185" customFormat="false" ht="14.25" hidden="false" customHeight="false" outlineLevel="0" collapsed="false">
      <c r="H185" s="91" t="e">
        <f aca="false">INDEX(Companies,MATCH(G185,StationIDs,0),1)</f>
        <v>#N/A</v>
      </c>
    </row>
    <row r="186" customFormat="false" ht="14.25" hidden="false" customHeight="false" outlineLevel="0" collapsed="false">
      <c r="H186" s="91" t="e">
        <f aca="false">INDEX(Companies,MATCH(G186,StationIDs,0),1)</f>
        <v>#N/A</v>
      </c>
    </row>
    <row r="187" customFormat="false" ht="14.25" hidden="false" customHeight="false" outlineLevel="0" collapsed="false">
      <c r="H187" s="91" t="e">
        <f aca="false">INDEX(Companies,MATCH(G187,StationIDs,0),1)</f>
        <v>#N/A</v>
      </c>
    </row>
    <row r="188" customFormat="false" ht="14.25" hidden="false" customHeight="false" outlineLevel="0" collapsed="false">
      <c r="H188" s="91" t="e">
        <f aca="false">INDEX(Companies,MATCH(G188,StationIDs,0),1)</f>
        <v>#N/A</v>
      </c>
    </row>
    <row r="189" customFormat="false" ht="14.25" hidden="false" customHeight="false" outlineLevel="0" collapsed="false">
      <c r="H189" s="91" t="e">
        <f aca="false">INDEX(Companies,MATCH(G189,StationIDs,0),1)</f>
        <v>#N/A</v>
      </c>
    </row>
    <row r="190" customFormat="false" ht="14.25" hidden="false" customHeight="false" outlineLevel="0" collapsed="false">
      <c r="H190" s="91" t="e">
        <f aca="false">INDEX(Companies,MATCH(G190,StationIDs,0),1)</f>
        <v>#N/A</v>
      </c>
    </row>
    <row r="191" customFormat="false" ht="14.25" hidden="false" customHeight="false" outlineLevel="0" collapsed="false">
      <c r="H191" s="91" t="e">
        <f aca="false">INDEX(Companies,MATCH(G191,StationIDs,0),1)</f>
        <v>#N/A</v>
      </c>
    </row>
    <row r="192" customFormat="false" ht="14.25" hidden="false" customHeight="false" outlineLevel="0" collapsed="false">
      <c r="H192" s="91" t="e">
        <f aca="false">INDEX(Companies,MATCH(G192,StationIDs,0),1)</f>
        <v>#N/A</v>
      </c>
    </row>
    <row r="193" customFormat="false" ht="14.25" hidden="false" customHeight="false" outlineLevel="0" collapsed="false">
      <c r="H193" s="91" t="e">
        <f aca="false">INDEX(Companies,MATCH(G193,StationIDs,0),1)</f>
        <v>#N/A</v>
      </c>
    </row>
    <row r="194" customFormat="false" ht="14.25" hidden="false" customHeight="false" outlineLevel="0" collapsed="false">
      <c r="H194" s="91" t="e">
        <f aca="false">INDEX(Companies,MATCH(G194,StationIDs,0),1)</f>
        <v>#N/A</v>
      </c>
    </row>
    <row r="195" customFormat="false" ht="14.25" hidden="false" customHeight="false" outlineLevel="0" collapsed="false">
      <c r="H195" s="91" t="e">
        <f aca="false">INDEX(Companies,MATCH(G195,StationIDs,0),1)</f>
        <v>#N/A</v>
      </c>
    </row>
    <row r="196" customFormat="false" ht="14.25" hidden="false" customHeight="false" outlineLevel="0" collapsed="false">
      <c r="H196" s="91" t="e">
        <f aca="false">INDEX(Companies,MATCH(G196,StationIDs,0),1)</f>
        <v>#N/A</v>
      </c>
    </row>
    <row r="197" customFormat="false" ht="14.25" hidden="false" customHeight="false" outlineLevel="0" collapsed="false">
      <c r="H197" s="91" t="e">
        <f aca="false">INDEX(Companies,MATCH(G197,StationIDs,0),1)</f>
        <v>#N/A</v>
      </c>
    </row>
    <row r="198" customFormat="false" ht="14.25" hidden="false" customHeight="false" outlineLevel="0" collapsed="false">
      <c r="H198" s="91" t="e">
        <f aca="false">INDEX(Companies,MATCH(G198,StationIDs,0),1)</f>
        <v>#N/A</v>
      </c>
    </row>
    <row r="199" customFormat="false" ht="14.25" hidden="false" customHeight="false" outlineLevel="0" collapsed="false">
      <c r="H199" s="91" t="e">
        <f aca="false">INDEX(Companies,MATCH(G199,StationIDs,0),1)</f>
        <v>#N/A</v>
      </c>
    </row>
    <row r="200" customFormat="false" ht="14.25" hidden="false" customHeight="false" outlineLevel="0" collapsed="false">
      <c r="H200" s="91" t="e">
        <f aca="false">INDEX(Companies,MATCH(G200,StationIDs,0),1)</f>
        <v>#N/A</v>
      </c>
    </row>
    <row r="201" customFormat="false" ht="14.25" hidden="false" customHeight="false" outlineLevel="0" collapsed="false">
      <c r="H201" s="91" t="e">
        <f aca="false">INDEX(Companies,MATCH(G201,StationIDs,0),1)</f>
        <v>#N/A</v>
      </c>
    </row>
    <row r="202" customFormat="false" ht="14.25" hidden="false" customHeight="false" outlineLevel="0" collapsed="false">
      <c r="H202" s="91" t="e">
        <f aca="false">INDEX(Companies,MATCH(G202,StationIDs,0),1)</f>
        <v>#N/A</v>
      </c>
    </row>
    <row r="203" customFormat="false" ht="14.25" hidden="false" customHeight="false" outlineLevel="0" collapsed="false">
      <c r="H203" s="91" t="e">
        <f aca="false">INDEX(Companies,MATCH(G203,StationIDs,0),1)</f>
        <v>#N/A</v>
      </c>
    </row>
    <row r="204" customFormat="false" ht="14.25" hidden="false" customHeight="false" outlineLevel="0" collapsed="false">
      <c r="H204" s="91" t="e">
        <f aca="false">INDEX(Companies,MATCH(G204,StationIDs,0),1)</f>
        <v>#N/A</v>
      </c>
    </row>
    <row r="205" customFormat="false" ht="14.25" hidden="false" customHeight="false" outlineLevel="0" collapsed="false">
      <c r="H205" s="91" t="e">
        <f aca="false">INDEX(Companies,MATCH(G205,StationIDs,0),1)</f>
        <v>#N/A</v>
      </c>
    </row>
    <row r="206" customFormat="false" ht="14.25" hidden="false" customHeight="false" outlineLevel="0" collapsed="false">
      <c r="H206" s="91" t="e">
        <f aca="false">INDEX(Companies,MATCH(G206,StationIDs,0),1)</f>
        <v>#N/A</v>
      </c>
    </row>
    <row r="207" customFormat="false" ht="14.25" hidden="false" customHeight="false" outlineLevel="0" collapsed="false">
      <c r="H207" s="91" t="e">
        <f aca="false">INDEX(Companies,MATCH(G207,StationIDs,0),1)</f>
        <v>#N/A</v>
      </c>
    </row>
    <row r="208" customFormat="false" ht="14.25" hidden="false" customHeight="false" outlineLevel="0" collapsed="false">
      <c r="H208" s="91" t="e">
        <f aca="false">INDEX(Companies,MATCH(G208,StationIDs,0),1)</f>
        <v>#N/A</v>
      </c>
    </row>
    <row r="209" customFormat="false" ht="14.25" hidden="false" customHeight="false" outlineLevel="0" collapsed="false">
      <c r="H209" s="91" t="e">
        <f aca="false">INDEX(Companies,MATCH(G209,StationIDs,0),1)</f>
        <v>#N/A</v>
      </c>
    </row>
    <row r="210" customFormat="false" ht="14.25" hidden="false" customHeight="false" outlineLevel="0" collapsed="false">
      <c r="H210" s="91" t="e">
        <f aca="false">INDEX(Companies,MATCH(G210,StationIDs,0),1)</f>
        <v>#N/A</v>
      </c>
    </row>
    <row r="211" customFormat="false" ht="14.25" hidden="false" customHeight="false" outlineLevel="0" collapsed="false">
      <c r="H211" s="91" t="e">
        <f aca="false">INDEX(Companies,MATCH(G211,StationIDs,0),1)</f>
        <v>#N/A</v>
      </c>
    </row>
    <row r="212" customFormat="false" ht="14.25" hidden="false" customHeight="false" outlineLevel="0" collapsed="false">
      <c r="H212" s="91" t="e">
        <f aca="false">INDEX(Companies,MATCH(G212,StationIDs,0),1)</f>
        <v>#N/A</v>
      </c>
    </row>
    <row r="213" customFormat="false" ht="14.25" hidden="false" customHeight="false" outlineLevel="0" collapsed="false">
      <c r="H213" s="91" t="e">
        <f aca="false">INDEX(Companies,MATCH(G213,StationIDs,0),1)</f>
        <v>#N/A</v>
      </c>
    </row>
    <row r="214" customFormat="false" ht="14.25" hidden="false" customHeight="false" outlineLevel="0" collapsed="false">
      <c r="H214" s="91" t="e">
        <f aca="false">INDEX(Companies,MATCH(G214,StationIDs,0),1)</f>
        <v>#N/A</v>
      </c>
    </row>
    <row r="215" customFormat="false" ht="14.25" hidden="false" customHeight="false" outlineLevel="0" collapsed="false">
      <c r="H215" s="91" t="e">
        <f aca="false">INDEX(Companies,MATCH(G215,StationIDs,0),1)</f>
        <v>#N/A</v>
      </c>
    </row>
    <row r="216" customFormat="false" ht="14.25" hidden="false" customHeight="false" outlineLevel="0" collapsed="false">
      <c r="H216" s="91" t="e">
        <f aca="false">INDEX(Companies,MATCH(G216,StationIDs,0),1)</f>
        <v>#N/A</v>
      </c>
    </row>
    <row r="217" customFormat="false" ht="14.25" hidden="false" customHeight="false" outlineLevel="0" collapsed="false">
      <c r="H217" s="91" t="e">
        <f aca="false">INDEX(Companies,MATCH(G217,StationIDs,0),1)</f>
        <v>#N/A</v>
      </c>
    </row>
    <row r="218" customFormat="false" ht="14.25" hidden="false" customHeight="false" outlineLevel="0" collapsed="false">
      <c r="H218" s="91" t="e">
        <f aca="false">INDEX(Companies,MATCH(G218,StationIDs,0),1)</f>
        <v>#N/A</v>
      </c>
    </row>
    <row r="219" customFormat="false" ht="14.25" hidden="false" customHeight="false" outlineLevel="0" collapsed="false">
      <c r="H219" s="91" t="e">
        <f aca="false">INDEX(Companies,MATCH(G219,StationIDs,0),1)</f>
        <v>#N/A</v>
      </c>
    </row>
    <row r="220" customFormat="false" ht="14.25" hidden="false" customHeight="false" outlineLevel="0" collapsed="false">
      <c r="H220" s="91" t="e">
        <f aca="false">INDEX(Companies,MATCH(G220,StationIDs,0),1)</f>
        <v>#N/A</v>
      </c>
    </row>
    <row r="221" customFormat="false" ht="14.25" hidden="false" customHeight="false" outlineLevel="0" collapsed="false">
      <c r="H221" s="91" t="e">
        <f aca="false">INDEX(Companies,MATCH(G221,StationIDs,0),1)</f>
        <v>#N/A</v>
      </c>
    </row>
    <row r="222" customFormat="false" ht="14.25" hidden="false" customHeight="false" outlineLevel="0" collapsed="false">
      <c r="H222" s="91" t="e">
        <f aca="false">INDEX(Companies,MATCH(G222,StationIDs,0),1)</f>
        <v>#N/A</v>
      </c>
    </row>
    <row r="223" customFormat="false" ht="14.25" hidden="false" customHeight="false" outlineLevel="0" collapsed="false">
      <c r="H223" s="91" t="e">
        <f aca="false">INDEX(Companies,MATCH(G223,StationIDs,0),1)</f>
        <v>#N/A</v>
      </c>
    </row>
    <row r="224" customFormat="false" ht="14.25" hidden="false" customHeight="false" outlineLevel="0" collapsed="false">
      <c r="H224" s="91" t="e">
        <f aca="false">INDEX(Companies,MATCH(G224,StationIDs,0),1)</f>
        <v>#N/A</v>
      </c>
    </row>
    <row r="225" customFormat="false" ht="14.25" hidden="false" customHeight="false" outlineLevel="0" collapsed="false">
      <c r="H225" s="91" t="e">
        <f aca="false">INDEX(Companies,MATCH(G225,StationIDs,0),1)</f>
        <v>#N/A</v>
      </c>
    </row>
    <row r="226" customFormat="false" ht="14.25" hidden="false" customHeight="false" outlineLevel="0" collapsed="false">
      <c r="H226" s="91" t="e">
        <f aca="false">INDEX(Companies,MATCH(G226,StationIDs,0),1)</f>
        <v>#N/A</v>
      </c>
    </row>
    <row r="227" customFormat="false" ht="14.25" hidden="false" customHeight="false" outlineLevel="0" collapsed="false">
      <c r="H227" s="91" t="e">
        <f aca="false">INDEX(Companies,MATCH(G227,StationIDs,0),1)</f>
        <v>#N/A</v>
      </c>
    </row>
    <row r="228" customFormat="false" ht="14.25" hidden="false" customHeight="false" outlineLevel="0" collapsed="false">
      <c r="H228" s="91" t="e">
        <f aca="false">INDEX(Companies,MATCH(G228,StationIDs,0),1)</f>
        <v>#N/A</v>
      </c>
    </row>
    <row r="229" customFormat="false" ht="14.25" hidden="false" customHeight="false" outlineLevel="0" collapsed="false">
      <c r="H229" s="91" t="e">
        <f aca="false">INDEX(Companies,MATCH(G229,StationIDs,0),1)</f>
        <v>#N/A</v>
      </c>
    </row>
    <row r="230" customFormat="false" ht="14.25" hidden="false" customHeight="false" outlineLevel="0" collapsed="false">
      <c r="H230" s="91" t="e">
        <f aca="false">INDEX(Companies,MATCH(G230,StationIDs,0),1)</f>
        <v>#N/A</v>
      </c>
    </row>
    <row r="231" customFormat="false" ht="14.25" hidden="false" customHeight="false" outlineLevel="0" collapsed="false">
      <c r="H231" s="91" t="e">
        <f aca="false">INDEX(Companies,MATCH(G231,StationIDs,0),1)</f>
        <v>#N/A</v>
      </c>
    </row>
    <row r="232" customFormat="false" ht="14.25" hidden="false" customHeight="false" outlineLevel="0" collapsed="false">
      <c r="H232" s="91" t="e">
        <f aca="false">INDEX(Companies,MATCH(G232,StationIDs,0),1)</f>
        <v>#N/A</v>
      </c>
    </row>
    <row r="233" customFormat="false" ht="14.25" hidden="false" customHeight="false" outlineLevel="0" collapsed="false">
      <c r="H233" s="91" t="e">
        <f aca="false">INDEX(Companies,MATCH(G233,StationIDs,0),1)</f>
        <v>#N/A</v>
      </c>
    </row>
    <row r="234" customFormat="false" ht="14.25" hidden="false" customHeight="false" outlineLevel="0" collapsed="false">
      <c r="H234" s="91" t="e">
        <f aca="false">INDEX(Companies,MATCH(G234,StationIDs,0),1)</f>
        <v>#N/A</v>
      </c>
    </row>
    <row r="235" customFormat="false" ht="14.25" hidden="false" customHeight="false" outlineLevel="0" collapsed="false">
      <c r="H235" s="91" t="e">
        <f aca="false">INDEX(Companies,MATCH(G235,StationIDs,0),1)</f>
        <v>#N/A</v>
      </c>
    </row>
    <row r="236" customFormat="false" ht="14.25" hidden="false" customHeight="false" outlineLevel="0" collapsed="false">
      <c r="H236" s="91" t="e">
        <f aca="false">INDEX(Companies,MATCH(G236,StationIDs,0),1)</f>
        <v>#N/A</v>
      </c>
    </row>
    <row r="237" customFormat="false" ht="14.25" hidden="false" customHeight="false" outlineLevel="0" collapsed="false">
      <c r="H237" s="91" t="e">
        <f aca="false">INDEX(Companies,MATCH(G237,StationIDs,0),1)</f>
        <v>#N/A</v>
      </c>
    </row>
    <row r="238" customFormat="false" ht="14.25" hidden="false" customHeight="false" outlineLevel="0" collapsed="false">
      <c r="H238" s="91" t="e">
        <f aca="false">INDEX(Companies,MATCH(G238,StationIDs,0),1)</f>
        <v>#N/A</v>
      </c>
    </row>
    <row r="239" customFormat="false" ht="14.25" hidden="false" customHeight="false" outlineLevel="0" collapsed="false">
      <c r="H239" s="91" t="e">
        <f aca="false">INDEX(Companies,MATCH(G239,StationIDs,0),1)</f>
        <v>#N/A</v>
      </c>
    </row>
    <row r="240" customFormat="false" ht="14.25" hidden="false" customHeight="false" outlineLevel="0" collapsed="false">
      <c r="H240" s="91" t="e">
        <f aca="false">INDEX(Companies,MATCH(G240,StationIDs,0),1)</f>
        <v>#N/A</v>
      </c>
    </row>
    <row r="241" customFormat="false" ht="14.25" hidden="false" customHeight="false" outlineLevel="0" collapsed="false">
      <c r="H241" s="91" t="e">
        <f aca="false">INDEX(Companies,MATCH(G241,StationIDs,0),1)</f>
        <v>#N/A</v>
      </c>
    </row>
    <row r="242" customFormat="false" ht="14.25" hidden="false" customHeight="false" outlineLevel="0" collapsed="false">
      <c r="H242" s="91" t="e">
        <f aca="false">INDEX(Companies,MATCH(G242,StationIDs,0),1)</f>
        <v>#N/A</v>
      </c>
    </row>
    <row r="243" customFormat="false" ht="14.25" hidden="false" customHeight="false" outlineLevel="0" collapsed="false">
      <c r="H243" s="91" t="e">
        <f aca="false">INDEX(Companies,MATCH(G243,StationIDs,0),1)</f>
        <v>#N/A</v>
      </c>
    </row>
    <row r="244" customFormat="false" ht="14.25" hidden="false" customHeight="false" outlineLevel="0" collapsed="false">
      <c r="H244" s="91" t="e">
        <f aca="false">INDEX(Companies,MATCH(G244,StationIDs,0),1)</f>
        <v>#N/A</v>
      </c>
    </row>
    <row r="245" customFormat="false" ht="14.25" hidden="false" customHeight="false" outlineLevel="0" collapsed="false">
      <c r="H245" s="91" t="e">
        <f aca="false">INDEX(Companies,MATCH(G245,StationIDs,0),1)</f>
        <v>#N/A</v>
      </c>
    </row>
    <row r="246" customFormat="false" ht="14.25" hidden="false" customHeight="false" outlineLevel="0" collapsed="false">
      <c r="H246" s="91" t="e">
        <f aca="false">INDEX(Companies,MATCH(G246,StationIDs,0),1)</f>
        <v>#N/A</v>
      </c>
    </row>
    <row r="247" customFormat="false" ht="14.25" hidden="false" customHeight="false" outlineLevel="0" collapsed="false">
      <c r="H247" s="91" t="e">
        <f aca="false">INDEX(Companies,MATCH(G247,StationIDs,0),1)</f>
        <v>#N/A</v>
      </c>
    </row>
    <row r="248" customFormat="false" ht="14.25" hidden="false" customHeight="false" outlineLevel="0" collapsed="false">
      <c r="H248" s="91" t="e">
        <f aca="false">INDEX(Companies,MATCH(G248,StationIDs,0),1)</f>
        <v>#N/A</v>
      </c>
    </row>
    <row r="249" customFormat="false" ht="14.25" hidden="false" customHeight="false" outlineLevel="0" collapsed="false">
      <c r="H249" s="91" t="e">
        <f aca="false">INDEX(Companies,MATCH(G249,StationIDs,0),1)</f>
        <v>#N/A</v>
      </c>
    </row>
    <row r="250" customFormat="false" ht="14.25" hidden="false" customHeight="false" outlineLevel="0" collapsed="false">
      <c r="H250" s="91" t="e">
        <f aca="false">INDEX(Companies,MATCH(G250,StationIDs,0),1)</f>
        <v>#N/A</v>
      </c>
    </row>
    <row r="251" customFormat="false" ht="14.25" hidden="false" customHeight="false" outlineLevel="0" collapsed="false">
      <c r="H251" s="91" t="e">
        <f aca="false">INDEX(Companies,MATCH(G251,StationIDs,0),1)</f>
        <v>#N/A</v>
      </c>
    </row>
    <row r="252" customFormat="false" ht="14.25" hidden="false" customHeight="false" outlineLevel="0" collapsed="false">
      <c r="H252" s="91" t="e">
        <f aca="false">INDEX(Companies,MATCH(G252,StationIDs,0),1)</f>
        <v>#N/A</v>
      </c>
    </row>
    <row r="253" customFormat="false" ht="14.25" hidden="false" customHeight="false" outlineLevel="0" collapsed="false">
      <c r="H253" s="91" t="e">
        <f aca="false">INDEX(Companies,MATCH(G253,StationIDs,0),1)</f>
        <v>#N/A</v>
      </c>
    </row>
    <row r="254" customFormat="false" ht="14.25" hidden="false" customHeight="false" outlineLevel="0" collapsed="false">
      <c r="H254" s="91" t="e">
        <f aca="false">INDEX(Companies,MATCH(G254,StationIDs,0),1)</f>
        <v>#N/A</v>
      </c>
    </row>
    <row r="255" customFormat="false" ht="14.25" hidden="false" customHeight="false" outlineLevel="0" collapsed="false">
      <c r="H255" s="91" t="e">
        <f aca="false">INDEX(Companies,MATCH(G255,StationIDs,0),1)</f>
        <v>#N/A</v>
      </c>
    </row>
    <row r="256" customFormat="false" ht="14.25" hidden="false" customHeight="false" outlineLevel="0" collapsed="false">
      <c r="H256" s="91" t="e">
        <f aca="false">INDEX(Companies,MATCH(G256,StationIDs,0),1)</f>
        <v>#N/A</v>
      </c>
    </row>
    <row r="257" customFormat="false" ht="14.25" hidden="false" customHeight="false" outlineLevel="0" collapsed="false">
      <c r="H257" s="91" t="e">
        <f aca="false">INDEX(Companies,MATCH(G257,StationIDs,0),1)</f>
        <v>#N/A</v>
      </c>
    </row>
    <row r="258" customFormat="false" ht="14.25" hidden="false" customHeight="false" outlineLevel="0" collapsed="false">
      <c r="H258" s="91" t="e">
        <f aca="false">INDEX(Companies,MATCH(G258,StationIDs,0),1)</f>
        <v>#N/A</v>
      </c>
    </row>
    <row r="259" customFormat="false" ht="14.25" hidden="false" customHeight="false" outlineLevel="0" collapsed="false">
      <c r="H259" s="91" t="e">
        <f aca="false">INDEX(Companies,MATCH(G259,StationIDs,0),1)</f>
        <v>#N/A</v>
      </c>
    </row>
    <row r="260" customFormat="false" ht="14.25" hidden="false" customHeight="false" outlineLevel="0" collapsed="false">
      <c r="H260" s="91" t="e">
        <f aca="false">INDEX(Companies,MATCH(G260,StationIDs,0),1)</f>
        <v>#N/A</v>
      </c>
    </row>
    <row r="261" customFormat="false" ht="14.25" hidden="false" customHeight="false" outlineLevel="0" collapsed="false">
      <c r="H261" s="91" t="e">
        <f aca="false">INDEX(Companies,MATCH(G261,StationIDs,0),1)</f>
        <v>#N/A</v>
      </c>
    </row>
    <row r="262" customFormat="false" ht="14.25" hidden="false" customHeight="false" outlineLevel="0" collapsed="false">
      <c r="H262" s="91" t="e">
        <f aca="false">INDEX(Companies,MATCH(G262,StationIDs,0),1)</f>
        <v>#N/A</v>
      </c>
    </row>
    <row r="263" customFormat="false" ht="14.25" hidden="false" customHeight="false" outlineLevel="0" collapsed="false">
      <c r="H263" s="91" t="e">
        <f aca="false">INDEX(Companies,MATCH(G263,StationIDs,0),1)</f>
        <v>#N/A</v>
      </c>
    </row>
    <row r="264" customFormat="false" ht="14.25" hidden="false" customHeight="false" outlineLevel="0" collapsed="false">
      <c r="H264" s="91" t="e">
        <f aca="false">INDEX(Companies,MATCH(G264,StationIDs,0),1)</f>
        <v>#N/A</v>
      </c>
    </row>
    <row r="265" customFormat="false" ht="14.25" hidden="false" customHeight="false" outlineLevel="0" collapsed="false">
      <c r="H265" s="91" t="e">
        <f aca="false">INDEX(Companies,MATCH(G265,StationIDs,0),1)</f>
        <v>#N/A</v>
      </c>
    </row>
    <row r="266" customFormat="false" ht="14.25" hidden="false" customHeight="false" outlineLevel="0" collapsed="false">
      <c r="H266" s="91" t="e">
        <f aca="false">INDEX(Companies,MATCH(G266,StationIDs,0),1)</f>
        <v>#N/A</v>
      </c>
    </row>
    <row r="267" customFormat="false" ht="14.25" hidden="false" customHeight="false" outlineLevel="0" collapsed="false">
      <c r="H267" s="91" t="e">
        <f aca="false">INDEX(Companies,MATCH(G267,StationIDs,0),1)</f>
        <v>#N/A</v>
      </c>
    </row>
    <row r="268" customFormat="false" ht="14.25" hidden="false" customHeight="false" outlineLevel="0" collapsed="false">
      <c r="H268" s="91" t="e">
        <f aca="false">INDEX(Companies,MATCH(G268,StationIDs,0),1)</f>
        <v>#N/A</v>
      </c>
    </row>
    <row r="269" customFormat="false" ht="14.25" hidden="false" customHeight="false" outlineLevel="0" collapsed="false">
      <c r="H269" s="91" t="e">
        <f aca="false">INDEX(Companies,MATCH(G269,StationIDs,0),1)</f>
        <v>#N/A</v>
      </c>
    </row>
    <row r="270" customFormat="false" ht="14.25" hidden="false" customHeight="false" outlineLevel="0" collapsed="false">
      <c r="H270" s="91" t="e">
        <f aca="false">INDEX(Companies,MATCH(G270,StationIDs,0),1)</f>
        <v>#N/A</v>
      </c>
    </row>
    <row r="271" customFormat="false" ht="14.25" hidden="false" customHeight="false" outlineLevel="0" collapsed="false">
      <c r="H271" s="91" t="e">
        <f aca="false">INDEX(Companies,MATCH(G271,StationIDs,0),1)</f>
        <v>#N/A</v>
      </c>
    </row>
    <row r="272" customFormat="false" ht="14.25" hidden="false" customHeight="false" outlineLevel="0" collapsed="false">
      <c r="H272" s="91" t="e">
        <f aca="false">INDEX(Companies,MATCH(G272,StationIDs,0),1)</f>
        <v>#N/A</v>
      </c>
    </row>
    <row r="273" customFormat="false" ht="14.25" hidden="false" customHeight="false" outlineLevel="0" collapsed="false">
      <c r="H273" s="91" t="e">
        <f aca="false">INDEX(Companies,MATCH(G273,StationIDs,0),1)</f>
        <v>#N/A</v>
      </c>
    </row>
    <row r="274" customFormat="false" ht="14.25" hidden="false" customHeight="false" outlineLevel="0" collapsed="false">
      <c r="H274" s="91" t="e">
        <f aca="false">INDEX(Companies,MATCH(G274,StationIDs,0),1)</f>
        <v>#N/A</v>
      </c>
    </row>
    <row r="275" customFormat="false" ht="14.25" hidden="false" customHeight="false" outlineLevel="0" collapsed="false">
      <c r="H275" s="91" t="e">
        <f aca="false">INDEX(Companies,MATCH(G275,StationIDs,0),1)</f>
        <v>#N/A</v>
      </c>
    </row>
    <row r="276" customFormat="false" ht="14.25" hidden="false" customHeight="false" outlineLevel="0" collapsed="false">
      <c r="H276" s="91" t="e">
        <f aca="false">INDEX(Companies,MATCH(G276,StationIDs,0),1)</f>
        <v>#N/A</v>
      </c>
    </row>
    <row r="277" customFormat="false" ht="14.25" hidden="false" customHeight="false" outlineLevel="0" collapsed="false">
      <c r="H277" s="91" t="e">
        <f aca="false">INDEX(Companies,MATCH(G277,StationIDs,0),1)</f>
        <v>#N/A</v>
      </c>
    </row>
    <row r="278" customFormat="false" ht="14.25" hidden="false" customHeight="false" outlineLevel="0" collapsed="false">
      <c r="H278" s="91" t="e">
        <f aca="false">INDEX(Companies,MATCH(G278,StationIDs,0),1)</f>
        <v>#N/A</v>
      </c>
    </row>
    <row r="279" customFormat="false" ht="14.25" hidden="false" customHeight="false" outlineLevel="0" collapsed="false">
      <c r="H279" s="91" t="e">
        <f aca="false">INDEX(Companies,MATCH(G279,StationIDs,0),1)</f>
        <v>#N/A</v>
      </c>
    </row>
    <row r="280" customFormat="false" ht="14.25" hidden="false" customHeight="false" outlineLevel="0" collapsed="false">
      <c r="H280" s="91" t="e">
        <f aca="false">INDEX(Companies,MATCH(G280,StationIDs,0),1)</f>
        <v>#N/A</v>
      </c>
    </row>
    <row r="281" customFormat="false" ht="14.25" hidden="false" customHeight="false" outlineLevel="0" collapsed="false">
      <c r="H281" s="91" t="e">
        <f aca="false">INDEX(Companies,MATCH(G281,StationIDs,0),1)</f>
        <v>#N/A</v>
      </c>
    </row>
    <row r="282" customFormat="false" ht="14.25" hidden="false" customHeight="false" outlineLevel="0" collapsed="false">
      <c r="H282" s="91" t="e">
        <f aca="false">INDEX(Companies,MATCH(G282,StationIDs,0),1)</f>
        <v>#N/A</v>
      </c>
    </row>
    <row r="283" customFormat="false" ht="14.25" hidden="false" customHeight="false" outlineLevel="0" collapsed="false">
      <c r="H283" s="91" t="e">
        <f aca="false">INDEX(Companies,MATCH(G283,StationIDs,0),1)</f>
        <v>#N/A</v>
      </c>
    </row>
    <row r="284" customFormat="false" ht="14.25" hidden="false" customHeight="false" outlineLevel="0" collapsed="false">
      <c r="H284" s="91" t="e">
        <f aca="false">INDEX(Companies,MATCH(G284,StationIDs,0),1)</f>
        <v>#N/A</v>
      </c>
    </row>
    <row r="285" customFormat="false" ht="14.25" hidden="false" customHeight="false" outlineLevel="0" collapsed="false">
      <c r="H285" s="91" t="e">
        <f aca="false">INDEX(Companies,MATCH(G285,StationIDs,0),1)</f>
        <v>#N/A</v>
      </c>
    </row>
    <row r="286" customFormat="false" ht="14.25" hidden="false" customHeight="false" outlineLevel="0" collapsed="false">
      <c r="H286" s="91" t="e">
        <f aca="false">INDEX(Companies,MATCH(G286,StationIDs,0),1)</f>
        <v>#N/A</v>
      </c>
    </row>
    <row r="287" customFormat="false" ht="14.25" hidden="false" customHeight="false" outlineLevel="0" collapsed="false">
      <c r="H287" s="91" t="e">
        <f aca="false">INDEX(Companies,MATCH(G287,StationIDs,0),1)</f>
        <v>#N/A</v>
      </c>
    </row>
    <row r="288" customFormat="false" ht="14.25" hidden="false" customHeight="false" outlineLevel="0" collapsed="false">
      <c r="H288" s="91" t="e">
        <f aca="false">INDEX(Companies,MATCH(G288,StationIDs,0),1)</f>
        <v>#N/A</v>
      </c>
    </row>
    <row r="289" customFormat="false" ht="14.25" hidden="false" customHeight="false" outlineLevel="0" collapsed="false">
      <c r="H289" s="91" t="e">
        <f aca="false">INDEX(Companies,MATCH(G289,StationIDs,0),1)</f>
        <v>#N/A</v>
      </c>
    </row>
    <row r="290" customFormat="false" ht="14.25" hidden="false" customHeight="false" outlineLevel="0" collapsed="false">
      <c r="H290" s="91" t="e">
        <f aca="false">INDEX(Companies,MATCH(G290,StationIDs,0),1)</f>
        <v>#N/A</v>
      </c>
    </row>
    <row r="291" customFormat="false" ht="14.25" hidden="false" customHeight="false" outlineLevel="0" collapsed="false">
      <c r="H291" s="91" t="e">
        <f aca="false">INDEX(Companies,MATCH(G291,StationIDs,0),1)</f>
        <v>#N/A</v>
      </c>
    </row>
    <row r="292" customFormat="false" ht="14.25" hidden="false" customHeight="false" outlineLevel="0" collapsed="false">
      <c r="H292" s="91" t="e">
        <f aca="false">INDEX(Companies,MATCH(G292,StationIDs,0),1)</f>
        <v>#N/A</v>
      </c>
    </row>
    <row r="293" customFormat="false" ht="14.25" hidden="false" customHeight="false" outlineLevel="0" collapsed="false">
      <c r="H293" s="91" t="e">
        <f aca="false">INDEX(Companies,MATCH(G293,StationIDs,0),1)</f>
        <v>#N/A</v>
      </c>
    </row>
    <row r="294" customFormat="false" ht="14.25" hidden="false" customHeight="false" outlineLevel="0" collapsed="false">
      <c r="H294" s="91" t="e">
        <f aca="false">INDEX(Companies,MATCH(G294,StationIDs,0),1)</f>
        <v>#N/A</v>
      </c>
    </row>
    <row r="295" customFormat="false" ht="14.25" hidden="false" customHeight="false" outlineLevel="0" collapsed="false">
      <c r="H295" s="91" t="e">
        <f aca="false">INDEX(Companies,MATCH(G295,StationIDs,0),1)</f>
        <v>#N/A</v>
      </c>
    </row>
    <row r="296" customFormat="false" ht="14.25" hidden="false" customHeight="false" outlineLevel="0" collapsed="false">
      <c r="H296" s="91" t="e">
        <f aca="false">INDEX(Companies,MATCH(G296,StationIDs,0),1)</f>
        <v>#N/A</v>
      </c>
    </row>
    <row r="297" customFormat="false" ht="14.25" hidden="false" customHeight="false" outlineLevel="0" collapsed="false">
      <c r="H297" s="91" t="e">
        <f aca="false">INDEX(Companies,MATCH(G297,StationIDs,0),1)</f>
        <v>#N/A</v>
      </c>
    </row>
    <row r="298" customFormat="false" ht="14.25" hidden="false" customHeight="false" outlineLevel="0" collapsed="false">
      <c r="H298" s="91" t="e">
        <f aca="false">INDEX(Companies,MATCH(G298,StationIDs,0),1)</f>
        <v>#N/A</v>
      </c>
    </row>
    <row r="299" customFormat="false" ht="14.25" hidden="false" customHeight="false" outlineLevel="0" collapsed="false">
      <c r="H299" s="91" t="e">
        <f aca="false">INDEX(Companies,MATCH(G299,StationIDs,0),1)</f>
        <v>#N/A</v>
      </c>
    </row>
    <row r="300" customFormat="false" ht="14.25" hidden="false" customHeight="false" outlineLevel="0" collapsed="false">
      <c r="H300" s="91" t="e">
        <f aca="false">INDEX(Companies,MATCH(G300,StationIDs,0),1)</f>
        <v>#N/A</v>
      </c>
    </row>
    <row r="301" customFormat="false" ht="14.25" hidden="false" customHeight="false" outlineLevel="0" collapsed="false">
      <c r="H301" s="91" t="e">
        <f aca="false">INDEX(Companies,MATCH(G301,StationIDs,0),1)</f>
        <v>#N/A</v>
      </c>
    </row>
    <row r="302" customFormat="false" ht="14.25" hidden="false" customHeight="false" outlineLevel="0" collapsed="false">
      <c r="H302" s="91" t="e">
        <f aca="false">INDEX(Companies,MATCH(G302,StationIDs,0),1)</f>
        <v>#N/A</v>
      </c>
    </row>
    <row r="303" customFormat="false" ht="14.25" hidden="false" customHeight="false" outlineLevel="0" collapsed="false">
      <c r="H303" s="91" t="e">
        <f aca="false">INDEX(Companies,MATCH(G303,StationIDs,0),1)</f>
        <v>#N/A</v>
      </c>
    </row>
    <row r="304" customFormat="false" ht="14.25" hidden="false" customHeight="false" outlineLevel="0" collapsed="false">
      <c r="H304" s="91" t="e">
        <f aca="false">INDEX(Companies,MATCH(G304,StationIDs,0),1)</f>
        <v>#N/A</v>
      </c>
    </row>
    <row r="305" customFormat="false" ht="14.25" hidden="false" customHeight="false" outlineLevel="0" collapsed="false">
      <c r="H305" s="91" t="e">
        <f aca="false">INDEX(Companies,MATCH(G305,StationIDs,0),1)</f>
        <v>#N/A</v>
      </c>
    </row>
    <row r="306" customFormat="false" ht="14.25" hidden="false" customHeight="false" outlineLevel="0" collapsed="false">
      <c r="H306" s="91" t="e">
        <f aca="false">INDEX(Companies,MATCH(G306,StationIDs,0),1)</f>
        <v>#N/A</v>
      </c>
    </row>
    <row r="307" customFormat="false" ht="14.25" hidden="false" customHeight="false" outlineLevel="0" collapsed="false">
      <c r="H307" s="91" t="e">
        <f aca="false">INDEX(Companies,MATCH(G307,StationIDs,0),1)</f>
        <v>#N/A</v>
      </c>
    </row>
    <row r="308" customFormat="false" ht="14.25" hidden="false" customHeight="false" outlineLevel="0" collapsed="false">
      <c r="H308" s="91" t="e">
        <f aca="false">INDEX(Companies,MATCH(G308,StationIDs,0),1)</f>
        <v>#N/A</v>
      </c>
    </row>
    <row r="309" customFormat="false" ht="14.25" hidden="false" customHeight="false" outlineLevel="0" collapsed="false">
      <c r="H309" s="91" t="e">
        <f aca="false">INDEX(Companies,MATCH(G309,StationIDs,0),1)</f>
        <v>#N/A</v>
      </c>
    </row>
    <row r="310" customFormat="false" ht="14.25" hidden="false" customHeight="false" outlineLevel="0" collapsed="false">
      <c r="H310" s="91" t="e">
        <f aca="false">INDEX(Companies,MATCH(G310,StationIDs,0),1)</f>
        <v>#N/A</v>
      </c>
    </row>
    <row r="311" customFormat="false" ht="14.25" hidden="false" customHeight="false" outlineLevel="0" collapsed="false">
      <c r="H311" s="91" t="e">
        <f aca="false">INDEX(Companies,MATCH(G311,StationIDs,0),1)</f>
        <v>#N/A</v>
      </c>
    </row>
    <row r="312" customFormat="false" ht="14.25" hidden="false" customHeight="false" outlineLevel="0" collapsed="false">
      <c r="H312" s="91" t="e">
        <f aca="false">INDEX(Companies,MATCH(G312,StationIDs,0),1)</f>
        <v>#N/A</v>
      </c>
    </row>
    <row r="313" customFormat="false" ht="14.25" hidden="false" customHeight="false" outlineLevel="0" collapsed="false">
      <c r="H313" s="91" t="e">
        <f aca="false">INDEX(Companies,MATCH(G313,StationIDs,0),1)</f>
        <v>#N/A</v>
      </c>
    </row>
    <row r="314" customFormat="false" ht="14.25" hidden="false" customHeight="false" outlineLevel="0" collapsed="false">
      <c r="H314" s="91" t="e">
        <f aca="false">INDEX(Companies,MATCH(G314,StationIDs,0),1)</f>
        <v>#N/A</v>
      </c>
    </row>
    <row r="315" customFormat="false" ht="14.25" hidden="false" customHeight="false" outlineLevel="0" collapsed="false">
      <c r="H315" s="91" t="e">
        <f aca="false">INDEX(Companies,MATCH(G315,StationIDs,0),1)</f>
        <v>#N/A</v>
      </c>
    </row>
    <row r="316" customFormat="false" ht="14.25" hidden="false" customHeight="false" outlineLevel="0" collapsed="false">
      <c r="H316" s="91" t="e">
        <f aca="false">INDEX(Companies,MATCH(G316,StationIDs,0),1)</f>
        <v>#N/A</v>
      </c>
    </row>
    <row r="317" customFormat="false" ht="14.25" hidden="false" customHeight="false" outlineLevel="0" collapsed="false">
      <c r="H317" s="91" t="e">
        <f aca="false">INDEX(Companies,MATCH(G317,StationIDs,0),1)</f>
        <v>#N/A</v>
      </c>
    </row>
    <row r="318" customFormat="false" ht="14.25" hidden="false" customHeight="false" outlineLevel="0" collapsed="false">
      <c r="H318" s="91" t="e">
        <f aca="false">INDEX(Companies,MATCH(G318,StationIDs,0),1)</f>
        <v>#N/A</v>
      </c>
    </row>
    <row r="319" customFormat="false" ht="14.25" hidden="false" customHeight="false" outlineLevel="0" collapsed="false">
      <c r="H319" s="91" t="e">
        <f aca="false">INDEX(Companies,MATCH(G319,StationIDs,0),1)</f>
        <v>#N/A</v>
      </c>
    </row>
    <row r="320" customFormat="false" ht="14.25" hidden="false" customHeight="false" outlineLevel="0" collapsed="false">
      <c r="H320" s="91" t="e">
        <f aca="false">INDEX(Companies,MATCH(G320,StationIDs,0),1)</f>
        <v>#N/A</v>
      </c>
    </row>
    <row r="321" customFormat="false" ht="14.25" hidden="false" customHeight="false" outlineLevel="0" collapsed="false">
      <c r="H321" s="91" t="e">
        <f aca="false">INDEX(Companies,MATCH(G321,StationIDs,0),1)</f>
        <v>#N/A</v>
      </c>
    </row>
    <row r="322" customFormat="false" ht="14.25" hidden="false" customHeight="false" outlineLevel="0" collapsed="false">
      <c r="H322" s="91" t="e">
        <f aca="false">INDEX(Companies,MATCH(G322,StationIDs,0),1)</f>
        <v>#N/A</v>
      </c>
    </row>
    <row r="323" customFormat="false" ht="14.25" hidden="false" customHeight="false" outlineLevel="0" collapsed="false">
      <c r="H323" s="91" t="e">
        <f aca="false">INDEX(Companies,MATCH(G323,StationIDs,0),1)</f>
        <v>#N/A</v>
      </c>
    </row>
    <row r="324" customFormat="false" ht="14.25" hidden="false" customHeight="false" outlineLevel="0" collapsed="false">
      <c r="H324" s="91" t="e">
        <f aca="false">INDEX(Companies,MATCH(G324,StationIDs,0),1)</f>
        <v>#N/A</v>
      </c>
    </row>
    <row r="325" customFormat="false" ht="14.25" hidden="false" customHeight="false" outlineLevel="0" collapsed="false">
      <c r="H325" s="91" t="e">
        <f aca="false">INDEX(Companies,MATCH(G325,StationIDs,0),1)</f>
        <v>#N/A</v>
      </c>
    </row>
    <row r="326" customFormat="false" ht="14.25" hidden="false" customHeight="false" outlineLevel="0" collapsed="false">
      <c r="H326" s="91" t="e">
        <f aca="false">INDEX(Companies,MATCH(G326,StationIDs,0),1)</f>
        <v>#N/A</v>
      </c>
    </row>
    <row r="327" customFormat="false" ht="14.25" hidden="false" customHeight="false" outlineLevel="0" collapsed="false">
      <c r="H327" s="91" t="e">
        <f aca="false">INDEX(Companies,MATCH(G327,StationIDs,0),1)</f>
        <v>#N/A</v>
      </c>
    </row>
    <row r="328" customFormat="false" ht="14.25" hidden="false" customHeight="false" outlineLevel="0" collapsed="false">
      <c r="H328" s="91" t="e">
        <f aca="false">INDEX(Companies,MATCH(G328,StationIDs,0),1)</f>
        <v>#N/A</v>
      </c>
    </row>
    <row r="329" customFormat="false" ht="14.25" hidden="false" customHeight="false" outlineLevel="0" collapsed="false">
      <c r="H329" s="91" t="e">
        <f aca="false">INDEX(Companies,MATCH(G329,StationIDs,0),1)</f>
        <v>#N/A</v>
      </c>
    </row>
    <row r="330" customFormat="false" ht="14.25" hidden="false" customHeight="false" outlineLevel="0" collapsed="false">
      <c r="H330" s="91" t="e">
        <f aca="false">INDEX(Companies,MATCH(G330,StationIDs,0),1)</f>
        <v>#N/A</v>
      </c>
    </row>
    <row r="331" customFormat="false" ht="14.25" hidden="false" customHeight="false" outlineLevel="0" collapsed="false">
      <c r="H331" s="91" t="e">
        <f aca="false">INDEX(Companies,MATCH(G331,StationIDs,0),1)</f>
        <v>#N/A</v>
      </c>
    </row>
    <row r="332" customFormat="false" ht="14.25" hidden="false" customHeight="false" outlineLevel="0" collapsed="false">
      <c r="H332" s="91" t="e">
        <f aca="false">INDEX(Companies,MATCH(G332,StationIDs,0),1)</f>
        <v>#N/A</v>
      </c>
    </row>
    <row r="333" customFormat="false" ht="14.25" hidden="false" customHeight="false" outlineLevel="0" collapsed="false">
      <c r="H333" s="91" t="e">
        <f aca="false">INDEX(Companies,MATCH(G333,StationIDs,0),1)</f>
        <v>#N/A</v>
      </c>
    </row>
    <row r="334" customFormat="false" ht="14.25" hidden="false" customHeight="false" outlineLevel="0" collapsed="false">
      <c r="H334" s="91" t="e">
        <f aca="false">INDEX(Companies,MATCH(G334,StationIDs,0),1)</f>
        <v>#N/A</v>
      </c>
    </row>
    <row r="335" customFormat="false" ht="14.25" hidden="false" customHeight="false" outlineLevel="0" collapsed="false">
      <c r="H335" s="91" t="e">
        <f aca="false">INDEX(Companies,MATCH(G335,StationIDs,0),1)</f>
        <v>#N/A</v>
      </c>
    </row>
    <row r="336" customFormat="false" ht="14.25" hidden="false" customHeight="false" outlineLevel="0" collapsed="false">
      <c r="H336" s="91" t="e">
        <f aca="false">INDEX(Companies,MATCH(G336,StationIDs,0),1)</f>
        <v>#N/A</v>
      </c>
    </row>
    <row r="337" customFormat="false" ht="14.25" hidden="false" customHeight="false" outlineLevel="0" collapsed="false">
      <c r="H337" s="91" t="e">
        <f aca="false">INDEX(Companies,MATCH(G337,StationIDs,0),1)</f>
        <v>#N/A</v>
      </c>
    </row>
    <row r="338" customFormat="false" ht="14.25" hidden="false" customHeight="false" outlineLevel="0" collapsed="false">
      <c r="H338" s="91" t="e">
        <f aca="false">INDEX(Companies,MATCH(G338,StationIDs,0),1)</f>
        <v>#N/A</v>
      </c>
    </row>
    <row r="339" customFormat="false" ht="14.25" hidden="false" customHeight="false" outlineLevel="0" collapsed="false">
      <c r="H339" s="91" t="e">
        <f aca="false">INDEX(Companies,MATCH(G339,StationIDs,0),1)</f>
        <v>#N/A</v>
      </c>
    </row>
    <row r="340" customFormat="false" ht="14.25" hidden="false" customHeight="false" outlineLevel="0" collapsed="false">
      <c r="H340" s="91" t="e">
        <f aca="false">INDEX(Companies,MATCH(G340,StationIDs,0),1)</f>
        <v>#N/A</v>
      </c>
    </row>
    <row r="341" customFormat="false" ht="14.25" hidden="false" customHeight="false" outlineLevel="0" collapsed="false">
      <c r="H341" s="91" t="e">
        <f aca="false">INDEX(Companies,MATCH(G341,StationIDs,0),1)</f>
        <v>#N/A</v>
      </c>
    </row>
    <row r="342" customFormat="false" ht="14.25" hidden="false" customHeight="false" outlineLevel="0" collapsed="false">
      <c r="H342" s="91" t="e">
        <f aca="false">INDEX(Companies,MATCH(G342,StationIDs,0),1)</f>
        <v>#N/A</v>
      </c>
    </row>
    <row r="343" customFormat="false" ht="14.25" hidden="false" customHeight="false" outlineLevel="0" collapsed="false">
      <c r="H343" s="91" t="e">
        <f aca="false">INDEX(Companies,MATCH(G343,StationIDs,0),1)</f>
        <v>#N/A</v>
      </c>
    </row>
    <row r="344" customFormat="false" ht="14.25" hidden="false" customHeight="false" outlineLevel="0" collapsed="false">
      <c r="H344" s="91" t="e">
        <f aca="false">INDEX(Companies,MATCH(G344,StationIDs,0),1)</f>
        <v>#N/A</v>
      </c>
    </row>
    <row r="345" customFormat="false" ht="14.25" hidden="false" customHeight="false" outlineLevel="0" collapsed="false">
      <c r="H345" s="91" t="e">
        <f aca="false">INDEX(Companies,MATCH(G345,StationIDs,0),1)</f>
        <v>#N/A</v>
      </c>
    </row>
    <row r="346" customFormat="false" ht="14.25" hidden="false" customHeight="false" outlineLevel="0" collapsed="false">
      <c r="H346" s="91" t="e">
        <f aca="false">INDEX(Companies,MATCH(G346,StationIDs,0),1)</f>
        <v>#N/A</v>
      </c>
    </row>
    <row r="347" customFormat="false" ht="14.25" hidden="false" customHeight="false" outlineLevel="0" collapsed="false">
      <c r="H347" s="91" t="e">
        <f aca="false">INDEX(Companies,MATCH(G347,StationIDs,0),1)</f>
        <v>#N/A</v>
      </c>
    </row>
    <row r="348" customFormat="false" ht="14.25" hidden="false" customHeight="false" outlineLevel="0" collapsed="false">
      <c r="H348" s="91" t="e">
        <f aca="false">INDEX(Companies,MATCH(G348,StationIDs,0),1)</f>
        <v>#N/A</v>
      </c>
    </row>
    <row r="349" customFormat="false" ht="14.25" hidden="false" customHeight="false" outlineLevel="0" collapsed="false">
      <c r="H349" s="91" t="e">
        <f aca="false">INDEX(Companies,MATCH(G349,StationIDs,0),1)</f>
        <v>#N/A</v>
      </c>
    </row>
    <row r="350" customFormat="false" ht="14.25" hidden="false" customHeight="false" outlineLevel="0" collapsed="false">
      <c r="H350" s="91" t="e">
        <f aca="false">INDEX(Companies,MATCH(G350,StationIDs,0),1)</f>
        <v>#N/A</v>
      </c>
    </row>
    <row r="351" customFormat="false" ht="14.25" hidden="false" customHeight="false" outlineLevel="0" collapsed="false">
      <c r="H351" s="91" t="e">
        <f aca="false">INDEX(Companies,MATCH(G351,StationIDs,0),1)</f>
        <v>#N/A</v>
      </c>
    </row>
    <row r="352" customFormat="false" ht="14.25" hidden="false" customHeight="false" outlineLevel="0" collapsed="false">
      <c r="H352" s="91" t="e">
        <f aca="false">INDEX(Companies,MATCH(G352,StationIDs,0),1)</f>
        <v>#N/A</v>
      </c>
    </row>
    <row r="353" customFormat="false" ht="14.25" hidden="false" customHeight="false" outlineLevel="0" collapsed="false">
      <c r="H353" s="91" t="e">
        <f aca="false">INDEX(Companies,MATCH(G353,StationIDs,0),1)</f>
        <v>#N/A</v>
      </c>
    </row>
    <row r="354" customFormat="false" ht="14.25" hidden="false" customHeight="false" outlineLevel="0" collapsed="false">
      <c r="H354" s="91" t="e">
        <f aca="false">INDEX(Companies,MATCH(G354,StationIDs,0),1)</f>
        <v>#N/A</v>
      </c>
    </row>
    <row r="355" customFormat="false" ht="14.25" hidden="false" customHeight="false" outlineLevel="0" collapsed="false">
      <c r="H355" s="91" t="e">
        <f aca="false">INDEX(Companies,MATCH(G355,StationIDs,0),1)</f>
        <v>#N/A</v>
      </c>
    </row>
    <row r="356" customFormat="false" ht="14.25" hidden="false" customHeight="false" outlineLevel="0" collapsed="false">
      <c r="H356" s="91" t="e">
        <f aca="false">INDEX(Companies,MATCH(G356,StationIDs,0),1)</f>
        <v>#N/A</v>
      </c>
    </row>
    <row r="357" customFormat="false" ht="14.25" hidden="false" customHeight="false" outlineLevel="0" collapsed="false">
      <c r="H357" s="91" t="e">
        <f aca="false">INDEX(Companies,MATCH(G357,StationIDs,0),1)</f>
        <v>#N/A</v>
      </c>
    </row>
    <row r="358" customFormat="false" ht="14.25" hidden="false" customHeight="false" outlineLevel="0" collapsed="false">
      <c r="H358" s="91" t="e">
        <f aca="false">INDEX(Companies,MATCH(G358,StationIDs,0),1)</f>
        <v>#N/A</v>
      </c>
    </row>
    <row r="359" customFormat="false" ht="14.25" hidden="false" customHeight="false" outlineLevel="0" collapsed="false">
      <c r="H359" s="91" t="e">
        <f aca="false">INDEX(Companies,MATCH(G359,StationIDs,0),1)</f>
        <v>#N/A</v>
      </c>
    </row>
    <row r="360" customFormat="false" ht="14.25" hidden="false" customHeight="false" outlineLevel="0" collapsed="false">
      <c r="H360" s="91" t="e">
        <f aca="false">INDEX(Companies,MATCH(G360,StationIDs,0),1)</f>
        <v>#N/A</v>
      </c>
    </row>
    <row r="361" customFormat="false" ht="14.25" hidden="false" customHeight="false" outlineLevel="0" collapsed="false">
      <c r="H361" s="91" t="e">
        <f aca="false">INDEX(Companies,MATCH(G361,StationIDs,0),1)</f>
        <v>#N/A</v>
      </c>
    </row>
    <row r="362" customFormat="false" ht="14.25" hidden="false" customHeight="false" outlineLevel="0" collapsed="false">
      <c r="H362" s="91" t="e">
        <f aca="false">INDEX(Companies,MATCH(G362,StationIDs,0),1)</f>
        <v>#N/A</v>
      </c>
    </row>
    <row r="363" customFormat="false" ht="14.25" hidden="false" customHeight="false" outlineLevel="0" collapsed="false">
      <c r="H363" s="91" t="e">
        <f aca="false">INDEX(Companies,MATCH(G363,StationIDs,0),1)</f>
        <v>#N/A</v>
      </c>
    </row>
    <row r="364" customFormat="false" ht="14.25" hidden="false" customHeight="false" outlineLevel="0" collapsed="false">
      <c r="H364" s="91" t="e">
        <f aca="false">INDEX(Companies,MATCH(G364,StationIDs,0),1)</f>
        <v>#N/A</v>
      </c>
    </row>
    <row r="365" customFormat="false" ht="14.25" hidden="false" customHeight="false" outlineLevel="0" collapsed="false">
      <c r="H365" s="91" t="e">
        <f aca="false">INDEX(Companies,MATCH(G365,StationIDs,0),1)</f>
        <v>#N/A</v>
      </c>
    </row>
    <row r="366" customFormat="false" ht="14.25" hidden="false" customHeight="false" outlineLevel="0" collapsed="false">
      <c r="H366" s="91" t="e">
        <f aca="false">INDEX(Companies,MATCH(G366,StationIDs,0),1)</f>
        <v>#N/A</v>
      </c>
    </row>
    <row r="367" customFormat="false" ht="14.25" hidden="false" customHeight="false" outlineLevel="0" collapsed="false">
      <c r="H367" s="91" t="e">
        <f aca="false">INDEX(Companies,MATCH(G367,StationIDs,0),1)</f>
        <v>#N/A</v>
      </c>
    </row>
    <row r="368" customFormat="false" ht="14.25" hidden="false" customHeight="false" outlineLevel="0" collapsed="false">
      <c r="H368" s="91" t="e">
        <f aca="false">INDEX(Companies,MATCH(G368,StationIDs,0),1)</f>
        <v>#N/A</v>
      </c>
    </row>
    <row r="369" customFormat="false" ht="14.25" hidden="false" customHeight="false" outlineLevel="0" collapsed="false">
      <c r="H369" s="91" t="e">
        <f aca="false">INDEX(Companies,MATCH(G369,StationIDs,0),1)</f>
        <v>#N/A</v>
      </c>
    </row>
    <row r="370" customFormat="false" ht="14.25" hidden="false" customHeight="false" outlineLevel="0" collapsed="false">
      <c r="H370" s="91" t="e">
        <f aca="false">INDEX(Companies,MATCH(G370,StationIDs,0),1)</f>
        <v>#N/A</v>
      </c>
    </row>
    <row r="371" customFormat="false" ht="14.25" hidden="false" customHeight="false" outlineLevel="0" collapsed="false">
      <c r="H371" s="91" t="e">
        <f aca="false">INDEX(Companies,MATCH(G371,StationIDs,0),1)</f>
        <v>#N/A</v>
      </c>
    </row>
    <row r="372" customFormat="false" ht="14.25" hidden="false" customHeight="false" outlineLevel="0" collapsed="false">
      <c r="H372" s="91" t="e">
        <f aca="false">INDEX(Companies,MATCH(G372,StationIDs,0),1)</f>
        <v>#N/A</v>
      </c>
    </row>
    <row r="373" customFormat="false" ht="14.25" hidden="false" customHeight="false" outlineLevel="0" collapsed="false">
      <c r="H373" s="91" t="e">
        <f aca="false">INDEX(Companies,MATCH(G373,StationIDs,0),1)</f>
        <v>#N/A</v>
      </c>
    </row>
    <row r="374" customFormat="false" ht="14.25" hidden="false" customHeight="false" outlineLevel="0" collapsed="false">
      <c r="H374" s="91" t="e">
        <f aca="false">INDEX(Companies,MATCH(G374,StationIDs,0),1)</f>
        <v>#N/A</v>
      </c>
    </row>
    <row r="375" customFormat="false" ht="14.25" hidden="false" customHeight="false" outlineLevel="0" collapsed="false">
      <c r="H375" s="91" t="e">
        <f aca="false">INDEX(Companies,MATCH(G375,StationIDs,0),1)</f>
        <v>#N/A</v>
      </c>
    </row>
    <row r="376" customFormat="false" ht="14.25" hidden="false" customHeight="false" outlineLevel="0" collapsed="false">
      <c r="H376" s="91" t="e">
        <f aca="false">INDEX(Companies,MATCH(G376,StationIDs,0),1)</f>
        <v>#N/A</v>
      </c>
    </row>
    <row r="377" customFormat="false" ht="14.25" hidden="false" customHeight="false" outlineLevel="0" collapsed="false">
      <c r="H377" s="91" t="e">
        <f aca="false">INDEX(Companies,MATCH(G377,StationIDs,0),1)</f>
        <v>#N/A</v>
      </c>
    </row>
    <row r="378" customFormat="false" ht="14.25" hidden="false" customHeight="false" outlineLevel="0" collapsed="false">
      <c r="H378" s="91" t="e">
        <f aca="false">INDEX(Companies,MATCH(G378,StationIDs,0),1)</f>
        <v>#N/A</v>
      </c>
    </row>
    <row r="379" customFormat="false" ht="14.25" hidden="false" customHeight="false" outlineLevel="0" collapsed="false">
      <c r="H379" s="91" t="e">
        <f aca="false">INDEX(Companies,MATCH(G379,StationIDs,0),1)</f>
        <v>#N/A</v>
      </c>
    </row>
    <row r="380" customFormat="false" ht="14.25" hidden="false" customHeight="false" outlineLevel="0" collapsed="false">
      <c r="H380" s="91" t="e">
        <f aca="false">INDEX(Companies,MATCH(G380,StationIDs,0),1)</f>
        <v>#N/A</v>
      </c>
    </row>
    <row r="381" customFormat="false" ht="14.25" hidden="false" customHeight="false" outlineLevel="0" collapsed="false">
      <c r="H381" s="91" t="e">
        <f aca="false">INDEX(Companies,MATCH(G381,StationIDs,0),1)</f>
        <v>#N/A</v>
      </c>
    </row>
    <row r="382" customFormat="false" ht="14.25" hidden="false" customHeight="false" outlineLevel="0" collapsed="false">
      <c r="H382" s="91" t="e">
        <f aca="false">INDEX(Companies,MATCH(G382,StationIDs,0),1)</f>
        <v>#N/A</v>
      </c>
    </row>
    <row r="383" customFormat="false" ht="14.25" hidden="false" customHeight="false" outlineLevel="0" collapsed="false">
      <c r="H383" s="91" t="e">
        <f aca="false">INDEX(Companies,MATCH(G383,StationIDs,0),1)</f>
        <v>#N/A</v>
      </c>
    </row>
    <row r="384" customFormat="false" ht="14.25" hidden="false" customHeight="false" outlineLevel="0" collapsed="false">
      <c r="H384" s="91" t="e">
        <f aca="false">INDEX(Companies,MATCH(G384,StationIDs,0),1)</f>
        <v>#N/A</v>
      </c>
    </row>
    <row r="385" customFormat="false" ht="14.25" hidden="false" customHeight="false" outlineLevel="0" collapsed="false">
      <c r="H385" s="91" t="e">
        <f aca="false">INDEX(Companies,MATCH(G385,StationIDs,0),1)</f>
        <v>#N/A</v>
      </c>
    </row>
    <row r="386" customFormat="false" ht="14.25" hidden="false" customHeight="false" outlineLevel="0" collapsed="false">
      <c r="H386" s="91" t="e">
        <f aca="false">INDEX(Companies,MATCH(G386,StationIDs,0),1)</f>
        <v>#N/A</v>
      </c>
    </row>
    <row r="387" customFormat="false" ht="14.25" hidden="false" customHeight="false" outlineLevel="0" collapsed="false">
      <c r="H387" s="91" t="e">
        <f aca="false">INDEX(Companies,MATCH(G387,StationIDs,0),1)</f>
        <v>#N/A</v>
      </c>
    </row>
    <row r="388" customFormat="false" ht="14.25" hidden="false" customHeight="false" outlineLevel="0" collapsed="false">
      <c r="H388" s="91" t="e">
        <f aca="false">INDEX(Companies,MATCH(G388,StationIDs,0),1)</f>
        <v>#N/A</v>
      </c>
    </row>
    <row r="389" customFormat="false" ht="14.25" hidden="false" customHeight="false" outlineLevel="0" collapsed="false">
      <c r="H389" s="91" t="e">
        <f aca="false">INDEX(Companies,MATCH(G389,StationIDs,0),1)</f>
        <v>#N/A</v>
      </c>
    </row>
    <row r="390" customFormat="false" ht="14.25" hidden="false" customHeight="false" outlineLevel="0" collapsed="false">
      <c r="H390" s="91" t="e">
        <f aca="false">INDEX(Companies,MATCH(G390,StationIDs,0),1)</f>
        <v>#N/A</v>
      </c>
    </row>
    <row r="391" customFormat="false" ht="14.25" hidden="false" customHeight="false" outlineLevel="0" collapsed="false">
      <c r="H391" s="91" t="e">
        <f aca="false">INDEX(Companies,MATCH(G391,StationIDs,0),1)</f>
        <v>#N/A</v>
      </c>
    </row>
    <row r="392" customFormat="false" ht="14.25" hidden="false" customHeight="false" outlineLevel="0" collapsed="false">
      <c r="H392" s="91" t="e">
        <f aca="false">INDEX(Companies,MATCH(G392,StationIDs,0),1)</f>
        <v>#N/A</v>
      </c>
    </row>
    <row r="393" customFormat="false" ht="14.25" hidden="false" customHeight="false" outlineLevel="0" collapsed="false">
      <c r="H393" s="91" t="e">
        <f aca="false">INDEX(Companies,MATCH(G393,StationIDs,0),1)</f>
        <v>#N/A</v>
      </c>
    </row>
    <row r="394" customFormat="false" ht="14.25" hidden="false" customHeight="false" outlineLevel="0" collapsed="false">
      <c r="H394" s="91" t="e">
        <f aca="false">INDEX(Companies,MATCH(G394,StationIDs,0),1)</f>
        <v>#N/A</v>
      </c>
    </row>
    <row r="395" customFormat="false" ht="14.25" hidden="false" customHeight="false" outlineLevel="0" collapsed="false">
      <c r="H395" s="91" t="e">
        <f aca="false">INDEX(Companies,MATCH(G395,StationIDs,0),1)</f>
        <v>#N/A</v>
      </c>
    </row>
    <row r="396" customFormat="false" ht="14.25" hidden="false" customHeight="false" outlineLevel="0" collapsed="false">
      <c r="H396" s="91" t="e">
        <f aca="false">INDEX(Companies,MATCH(G396,StationIDs,0),1)</f>
        <v>#N/A</v>
      </c>
    </row>
    <row r="397" customFormat="false" ht="14.25" hidden="false" customHeight="false" outlineLevel="0" collapsed="false">
      <c r="H397" s="91" t="e">
        <f aca="false">INDEX(Companies,MATCH(G397,StationIDs,0),1)</f>
        <v>#N/A</v>
      </c>
    </row>
    <row r="398" customFormat="false" ht="14.25" hidden="false" customHeight="false" outlineLevel="0" collapsed="false">
      <c r="H398" s="91" t="e">
        <f aca="false">INDEX(Companies,MATCH(G398,StationIDs,0),1)</f>
        <v>#N/A</v>
      </c>
    </row>
    <row r="399" customFormat="false" ht="14.25" hidden="false" customHeight="false" outlineLevel="0" collapsed="false">
      <c r="H399" s="91" t="e">
        <f aca="false">INDEX(Companies,MATCH(G399,StationIDs,0),1)</f>
        <v>#N/A</v>
      </c>
    </row>
    <row r="400" customFormat="false" ht="14.25" hidden="false" customHeight="false" outlineLevel="0" collapsed="false">
      <c r="H400" s="91" t="e">
        <f aca="false">INDEX(Companies,MATCH(G400,StationIDs,0),1)</f>
        <v>#N/A</v>
      </c>
    </row>
    <row r="401" customFormat="false" ht="14.25" hidden="false" customHeight="false" outlineLevel="0" collapsed="false">
      <c r="H401" s="91" t="e">
        <f aca="false">INDEX(Companies,MATCH(G401,StationIDs,0),1)</f>
        <v>#N/A</v>
      </c>
    </row>
    <row r="402" customFormat="false" ht="14.25" hidden="false" customHeight="false" outlineLevel="0" collapsed="false">
      <c r="H402" s="91" t="e">
        <f aca="false">INDEX(Companies,MATCH(G402,StationIDs,0),1)</f>
        <v>#N/A</v>
      </c>
    </row>
    <row r="403" customFormat="false" ht="14.25" hidden="false" customHeight="false" outlineLevel="0" collapsed="false">
      <c r="H403" s="91" t="e">
        <f aca="false">INDEX(Companies,MATCH(G403,StationIDs,0),1)</f>
        <v>#N/A</v>
      </c>
    </row>
    <row r="404" customFormat="false" ht="14.25" hidden="false" customHeight="false" outlineLevel="0" collapsed="false">
      <c r="H404" s="91" t="e">
        <f aca="false">INDEX(Companies,MATCH(G404,StationIDs,0),1)</f>
        <v>#N/A</v>
      </c>
    </row>
    <row r="405" customFormat="false" ht="14.25" hidden="false" customHeight="false" outlineLevel="0" collapsed="false">
      <c r="H405" s="91" t="e">
        <f aca="false">INDEX(Companies,MATCH(G405,StationIDs,0),1)</f>
        <v>#N/A</v>
      </c>
    </row>
    <row r="406" customFormat="false" ht="14.25" hidden="false" customHeight="false" outlineLevel="0" collapsed="false">
      <c r="H406" s="91" t="e">
        <f aca="false">INDEX(Companies,MATCH(G406,StationIDs,0),1)</f>
        <v>#N/A</v>
      </c>
    </row>
    <row r="407" customFormat="false" ht="14.25" hidden="false" customHeight="false" outlineLevel="0" collapsed="false">
      <c r="H407" s="91" t="e">
        <f aca="false">INDEX(Companies,MATCH(G407,StationIDs,0),1)</f>
        <v>#N/A</v>
      </c>
    </row>
    <row r="408" customFormat="false" ht="14.25" hidden="false" customHeight="false" outlineLevel="0" collapsed="false">
      <c r="H408" s="91" t="e">
        <f aca="false">INDEX(Companies,MATCH(G408,StationIDs,0),1)</f>
        <v>#N/A</v>
      </c>
    </row>
    <row r="409" customFormat="false" ht="14.25" hidden="false" customHeight="false" outlineLevel="0" collapsed="false">
      <c r="H409" s="91" t="e">
        <f aca="false">INDEX(Companies,MATCH(G409,StationIDs,0),1)</f>
        <v>#N/A</v>
      </c>
    </row>
    <row r="410" customFormat="false" ht="14.25" hidden="false" customHeight="false" outlineLevel="0" collapsed="false">
      <c r="H410" s="91" t="e">
        <f aca="false">INDEX(Companies,MATCH(G410,StationIDs,0),1)</f>
        <v>#N/A</v>
      </c>
    </row>
    <row r="411" customFormat="false" ht="14.25" hidden="false" customHeight="false" outlineLevel="0" collapsed="false">
      <c r="H411" s="91" t="e">
        <f aca="false">INDEX(Companies,MATCH(G411,StationIDs,0),1)</f>
        <v>#N/A</v>
      </c>
    </row>
    <row r="412" customFormat="false" ht="14.25" hidden="false" customHeight="false" outlineLevel="0" collapsed="false">
      <c r="H412" s="91" t="e">
        <f aca="false">INDEX(Companies,MATCH(G412,StationIDs,0),1)</f>
        <v>#N/A</v>
      </c>
    </row>
    <row r="413" customFormat="false" ht="14.25" hidden="false" customHeight="false" outlineLevel="0" collapsed="false">
      <c r="H413" s="91" t="e">
        <f aca="false">INDEX(Companies,MATCH(G413,StationIDs,0),1)</f>
        <v>#N/A</v>
      </c>
    </row>
    <row r="414" customFormat="false" ht="14.25" hidden="false" customHeight="false" outlineLevel="0" collapsed="false">
      <c r="H414" s="91" t="e">
        <f aca="false">INDEX(Companies,MATCH(G414,StationIDs,0),1)</f>
        <v>#N/A</v>
      </c>
    </row>
    <row r="415" customFormat="false" ht="14.25" hidden="false" customHeight="false" outlineLevel="0" collapsed="false">
      <c r="H415" s="91" t="e">
        <f aca="false">INDEX(Companies,MATCH(G415,StationIDs,0),1)</f>
        <v>#N/A</v>
      </c>
    </row>
    <row r="416" customFormat="false" ht="14.25" hidden="false" customHeight="false" outlineLevel="0" collapsed="false">
      <c r="H416" s="91" t="e">
        <f aca="false">INDEX(Companies,MATCH(G416,StationIDs,0),1)</f>
        <v>#N/A</v>
      </c>
    </row>
    <row r="417" customFormat="false" ht="14.25" hidden="false" customHeight="false" outlineLevel="0" collapsed="false">
      <c r="H417" s="91" t="e">
        <f aca="false">INDEX(Companies,MATCH(G417,StationIDs,0),1)</f>
        <v>#N/A</v>
      </c>
    </row>
    <row r="418" customFormat="false" ht="14.25" hidden="false" customHeight="false" outlineLevel="0" collapsed="false">
      <c r="H418" s="91" t="e">
        <f aca="false">INDEX(Companies,MATCH(G418,StationIDs,0),1)</f>
        <v>#N/A</v>
      </c>
    </row>
    <row r="419" customFormat="false" ht="14.25" hidden="false" customHeight="false" outlineLevel="0" collapsed="false">
      <c r="H419" s="91" t="e">
        <f aca="false">INDEX(Companies,MATCH(G419,StationIDs,0),1)</f>
        <v>#N/A</v>
      </c>
    </row>
    <row r="420" customFormat="false" ht="14.25" hidden="false" customHeight="false" outlineLevel="0" collapsed="false">
      <c r="H420" s="91" t="e">
        <f aca="false">INDEX(Companies,MATCH(G420,StationIDs,0),1)</f>
        <v>#N/A</v>
      </c>
    </row>
    <row r="421" customFormat="false" ht="14.25" hidden="false" customHeight="false" outlineLevel="0" collapsed="false">
      <c r="H421" s="91" t="e">
        <f aca="false">INDEX(Companies,MATCH(G421,StationIDs,0),1)</f>
        <v>#N/A</v>
      </c>
    </row>
    <row r="422" customFormat="false" ht="14.25" hidden="false" customHeight="false" outlineLevel="0" collapsed="false">
      <c r="H422" s="91" t="e">
        <f aca="false">INDEX(Companies,MATCH(G422,StationIDs,0),1)</f>
        <v>#N/A</v>
      </c>
    </row>
    <row r="423" customFormat="false" ht="14.25" hidden="false" customHeight="false" outlineLevel="0" collapsed="false">
      <c r="H423" s="91" t="e">
        <f aca="false">INDEX(Companies,MATCH(G423,StationIDs,0),1)</f>
        <v>#N/A</v>
      </c>
    </row>
    <row r="424" customFormat="false" ht="14.25" hidden="false" customHeight="false" outlineLevel="0" collapsed="false">
      <c r="H424" s="91" t="e">
        <f aca="false">INDEX(Companies,MATCH(G424,StationIDs,0),1)</f>
        <v>#N/A</v>
      </c>
    </row>
    <row r="425" customFormat="false" ht="14.25" hidden="false" customHeight="false" outlineLevel="0" collapsed="false">
      <c r="H425" s="91" t="e">
        <f aca="false">INDEX(Companies,MATCH(G425,StationIDs,0),1)</f>
        <v>#N/A</v>
      </c>
    </row>
    <row r="426" customFormat="false" ht="14.25" hidden="false" customHeight="false" outlineLevel="0" collapsed="false">
      <c r="H426" s="91" t="e">
        <f aca="false">INDEX(Companies,MATCH(G426,StationIDs,0),1)</f>
        <v>#N/A</v>
      </c>
    </row>
    <row r="427" customFormat="false" ht="14.25" hidden="false" customHeight="false" outlineLevel="0" collapsed="false">
      <c r="H427" s="91" t="e">
        <f aca="false">INDEX(Companies,MATCH(G427,StationIDs,0),1)</f>
        <v>#N/A</v>
      </c>
    </row>
    <row r="428" customFormat="false" ht="14.25" hidden="false" customHeight="false" outlineLevel="0" collapsed="false">
      <c r="H428" s="91" t="e">
        <f aca="false">INDEX(Companies,MATCH(G428,StationIDs,0),1)</f>
        <v>#N/A</v>
      </c>
    </row>
    <row r="429" customFormat="false" ht="14.25" hidden="false" customHeight="false" outlineLevel="0" collapsed="false">
      <c r="H429" s="91" t="e">
        <f aca="false">INDEX(Companies,MATCH(G429,StationIDs,0),1)</f>
        <v>#N/A</v>
      </c>
    </row>
    <row r="430" customFormat="false" ht="14.25" hidden="false" customHeight="false" outlineLevel="0" collapsed="false">
      <c r="H430" s="91" t="e">
        <f aca="false">INDEX(Companies,MATCH(G430,StationIDs,0),1)</f>
        <v>#N/A</v>
      </c>
    </row>
    <row r="431" customFormat="false" ht="14.25" hidden="false" customHeight="false" outlineLevel="0" collapsed="false">
      <c r="H431" s="91" t="e">
        <f aca="false">INDEX(Companies,MATCH(G431,StationIDs,0),1)</f>
        <v>#N/A</v>
      </c>
    </row>
    <row r="432" customFormat="false" ht="14.25" hidden="false" customHeight="false" outlineLevel="0" collapsed="false">
      <c r="H432" s="91" t="e">
        <f aca="false">INDEX(Companies,MATCH(G432,StationIDs,0),1)</f>
        <v>#N/A</v>
      </c>
    </row>
    <row r="433" customFormat="false" ht="14.25" hidden="false" customHeight="false" outlineLevel="0" collapsed="false">
      <c r="H433" s="91" t="e">
        <f aca="false">INDEX(Companies,MATCH(G433,StationIDs,0),1)</f>
        <v>#N/A</v>
      </c>
    </row>
    <row r="434" customFormat="false" ht="14.25" hidden="false" customHeight="false" outlineLevel="0" collapsed="false">
      <c r="H434" s="91" t="e">
        <f aca="false">INDEX(Companies,MATCH(G434,StationIDs,0),1)</f>
        <v>#N/A</v>
      </c>
    </row>
    <row r="435" customFormat="false" ht="14.25" hidden="false" customHeight="false" outlineLevel="0" collapsed="false">
      <c r="H435" s="91" t="e">
        <f aca="false">INDEX(Companies,MATCH(G435,StationIDs,0),1)</f>
        <v>#N/A</v>
      </c>
    </row>
    <row r="436" customFormat="false" ht="14.25" hidden="false" customHeight="false" outlineLevel="0" collapsed="false">
      <c r="H436" s="91" t="e">
        <f aca="false">INDEX(Companies,MATCH(G436,StationIDs,0),1)</f>
        <v>#N/A</v>
      </c>
    </row>
    <row r="437" customFormat="false" ht="14.25" hidden="false" customHeight="false" outlineLevel="0" collapsed="false">
      <c r="H437" s="91" t="e">
        <f aca="false">INDEX(Companies,MATCH(G437,StationIDs,0),1)</f>
        <v>#N/A</v>
      </c>
    </row>
    <row r="438" customFormat="false" ht="14.25" hidden="false" customHeight="false" outlineLevel="0" collapsed="false">
      <c r="H438" s="91" t="e">
        <f aca="false">INDEX(Companies,MATCH(G438,StationIDs,0),1)</f>
        <v>#N/A</v>
      </c>
    </row>
    <row r="439" customFormat="false" ht="14.25" hidden="false" customHeight="false" outlineLevel="0" collapsed="false">
      <c r="H439" s="91" t="e">
        <f aca="false">INDEX(Companies,MATCH(G439,StationIDs,0),1)</f>
        <v>#N/A</v>
      </c>
    </row>
    <row r="440" customFormat="false" ht="14.25" hidden="false" customHeight="false" outlineLevel="0" collapsed="false">
      <c r="H440" s="91" t="e">
        <f aca="false">INDEX(Companies,MATCH(G440,StationIDs,0),1)</f>
        <v>#N/A</v>
      </c>
    </row>
    <row r="441" customFormat="false" ht="14.25" hidden="false" customHeight="false" outlineLevel="0" collapsed="false">
      <c r="H441" s="91" t="e">
        <f aca="false">INDEX(Companies,MATCH(G441,StationIDs,0),1)</f>
        <v>#N/A</v>
      </c>
    </row>
    <row r="442" customFormat="false" ht="14.25" hidden="false" customHeight="false" outlineLevel="0" collapsed="false">
      <c r="H442" s="91" t="e">
        <f aca="false">INDEX(Companies,MATCH(G442,StationIDs,0),1)</f>
        <v>#N/A</v>
      </c>
    </row>
    <row r="443" customFormat="false" ht="14.25" hidden="false" customHeight="false" outlineLevel="0" collapsed="false">
      <c r="H443" s="91" t="e">
        <f aca="false">INDEX(Companies,MATCH(G443,StationIDs,0),1)</f>
        <v>#N/A</v>
      </c>
    </row>
    <row r="444" customFormat="false" ht="14.25" hidden="false" customHeight="false" outlineLevel="0" collapsed="false">
      <c r="H444" s="91" t="e">
        <f aca="false">INDEX(Companies,MATCH(G444,StationIDs,0),1)</f>
        <v>#N/A</v>
      </c>
    </row>
    <row r="445" customFormat="false" ht="14.25" hidden="false" customHeight="false" outlineLevel="0" collapsed="false">
      <c r="H445" s="91" t="e">
        <f aca="false">INDEX(Companies,MATCH(G445,StationIDs,0),1)</f>
        <v>#N/A</v>
      </c>
    </row>
    <row r="446" customFormat="false" ht="14.25" hidden="false" customHeight="false" outlineLevel="0" collapsed="false">
      <c r="H446" s="91" t="e">
        <f aca="false">INDEX(Companies,MATCH(G446,StationIDs,0),1)</f>
        <v>#N/A</v>
      </c>
    </row>
    <row r="447" customFormat="false" ht="14.25" hidden="false" customHeight="false" outlineLevel="0" collapsed="false">
      <c r="H447" s="91" t="e">
        <f aca="false">INDEX(Companies,MATCH(G447,StationIDs,0),1)</f>
        <v>#N/A</v>
      </c>
    </row>
    <row r="448" customFormat="false" ht="14.25" hidden="false" customHeight="false" outlineLevel="0" collapsed="false">
      <c r="H448" s="91" t="e">
        <f aca="false">INDEX(Companies,MATCH(G448,StationIDs,0),1)</f>
        <v>#N/A</v>
      </c>
    </row>
    <row r="449" customFormat="false" ht="14.25" hidden="false" customHeight="false" outlineLevel="0" collapsed="false">
      <c r="H449" s="91" t="e">
        <f aca="false">INDEX(Companies,MATCH(G449,StationIDs,0),1)</f>
        <v>#N/A</v>
      </c>
    </row>
    <row r="450" customFormat="false" ht="14.25" hidden="false" customHeight="false" outlineLevel="0" collapsed="false">
      <c r="H450" s="91" t="e">
        <f aca="false">INDEX(Companies,MATCH(G450,StationIDs,0),1)</f>
        <v>#N/A</v>
      </c>
    </row>
    <row r="451" customFormat="false" ht="14.25" hidden="false" customHeight="false" outlineLevel="0" collapsed="false">
      <c r="H451" s="91" t="e">
        <f aca="false">INDEX(Companies,MATCH(G451,StationIDs,0),1)</f>
        <v>#N/A</v>
      </c>
    </row>
    <row r="452" customFormat="false" ht="14.25" hidden="false" customHeight="false" outlineLevel="0" collapsed="false">
      <c r="H452" s="91" t="e">
        <f aca="false">INDEX(Companies,MATCH(G452,StationIDs,0),1)</f>
        <v>#N/A</v>
      </c>
    </row>
    <row r="453" customFormat="false" ht="14.25" hidden="false" customHeight="false" outlineLevel="0" collapsed="false">
      <c r="H453" s="91" t="e">
        <f aca="false">INDEX(Companies,MATCH(G453,StationIDs,0),1)</f>
        <v>#N/A</v>
      </c>
    </row>
    <row r="454" customFormat="false" ht="14.25" hidden="false" customHeight="false" outlineLevel="0" collapsed="false">
      <c r="H454" s="91" t="e">
        <f aca="false">INDEX(Companies,MATCH(G454,StationIDs,0),1)</f>
        <v>#N/A</v>
      </c>
    </row>
    <row r="455" customFormat="false" ht="14.25" hidden="false" customHeight="false" outlineLevel="0" collapsed="false">
      <c r="H455" s="91" t="e">
        <f aca="false">INDEX(Companies,MATCH(G455,StationIDs,0),1)</f>
        <v>#N/A</v>
      </c>
    </row>
    <row r="456" customFormat="false" ht="14.25" hidden="false" customHeight="false" outlineLevel="0" collapsed="false">
      <c r="H456" s="91" t="e">
        <f aca="false">INDEX(Companies,MATCH(G456,StationIDs,0),1)</f>
        <v>#N/A</v>
      </c>
    </row>
    <row r="457" customFormat="false" ht="14.25" hidden="false" customHeight="false" outlineLevel="0" collapsed="false">
      <c r="H457" s="91" t="e">
        <f aca="false">INDEX(Companies,MATCH(G457,StationIDs,0),1)</f>
        <v>#N/A</v>
      </c>
    </row>
    <row r="458" customFormat="false" ht="14.25" hidden="false" customHeight="false" outlineLevel="0" collapsed="false">
      <c r="H458" s="91" t="e">
        <f aca="false">INDEX(Companies,MATCH(G458,StationIDs,0),1)</f>
        <v>#N/A</v>
      </c>
    </row>
    <row r="459" customFormat="false" ht="14.25" hidden="false" customHeight="false" outlineLevel="0" collapsed="false">
      <c r="H459" s="91" t="e">
        <f aca="false">INDEX(Companies,MATCH(G459,StationIDs,0),1)</f>
        <v>#N/A</v>
      </c>
    </row>
    <row r="460" customFormat="false" ht="14.25" hidden="false" customHeight="false" outlineLevel="0" collapsed="false">
      <c r="H460" s="91" t="e">
        <f aca="false">INDEX(Companies,MATCH(G460,StationIDs,0),1)</f>
        <v>#N/A</v>
      </c>
    </row>
    <row r="461" customFormat="false" ht="14.25" hidden="false" customHeight="false" outlineLevel="0" collapsed="false">
      <c r="H461" s="91" t="e">
        <f aca="false">INDEX(Companies,MATCH(G461,StationIDs,0),1)</f>
        <v>#N/A</v>
      </c>
    </row>
    <row r="462" customFormat="false" ht="14.25" hidden="false" customHeight="false" outlineLevel="0" collapsed="false">
      <c r="H462" s="91" t="e">
        <f aca="false">INDEX(Companies,MATCH(G462,StationIDs,0),1)</f>
        <v>#N/A</v>
      </c>
    </row>
    <row r="463" customFormat="false" ht="14.25" hidden="false" customHeight="false" outlineLevel="0" collapsed="false">
      <c r="H463" s="91" t="e">
        <f aca="false">INDEX(Companies,MATCH(G463,StationIDs,0),1)</f>
        <v>#N/A</v>
      </c>
    </row>
    <row r="464" customFormat="false" ht="14.25" hidden="false" customHeight="false" outlineLevel="0" collapsed="false">
      <c r="H464" s="91" t="e">
        <f aca="false">INDEX(Companies,MATCH(G464,StationIDs,0),1)</f>
        <v>#N/A</v>
      </c>
    </row>
    <row r="465" customFormat="false" ht="14.25" hidden="false" customHeight="false" outlineLevel="0" collapsed="false">
      <c r="H465" s="91" t="e">
        <f aca="false">INDEX(Companies,MATCH(G465,StationIDs,0),1)</f>
        <v>#N/A</v>
      </c>
    </row>
    <row r="466" customFormat="false" ht="14.25" hidden="false" customHeight="false" outlineLevel="0" collapsed="false">
      <c r="H466" s="91" t="e">
        <f aca="false">INDEX(Companies,MATCH(G466,StationIDs,0),1)</f>
        <v>#N/A</v>
      </c>
    </row>
    <row r="467" customFormat="false" ht="14.25" hidden="false" customHeight="false" outlineLevel="0" collapsed="false">
      <c r="H467" s="91" t="e">
        <f aca="false">INDEX(Companies,MATCH(G467,StationIDs,0),1)</f>
        <v>#N/A</v>
      </c>
    </row>
    <row r="468" customFormat="false" ht="14.25" hidden="false" customHeight="false" outlineLevel="0" collapsed="false">
      <c r="H468" s="91" t="e">
        <f aca="false">INDEX(Companies,MATCH(G468,StationIDs,0),1)</f>
        <v>#N/A</v>
      </c>
    </row>
    <row r="469" customFormat="false" ht="14.25" hidden="false" customHeight="false" outlineLevel="0" collapsed="false">
      <c r="H469" s="91" t="e">
        <f aca="false">INDEX(Companies,MATCH(G469,StationIDs,0),1)</f>
        <v>#N/A</v>
      </c>
    </row>
    <row r="470" customFormat="false" ht="14.25" hidden="false" customHeight="false" outlineLevel="0" collapsed="false">
      <c r="H470" s="91" t="e">
        <f aca="false">INDEX(Companies,MATCH(G470,StationIDs,0),1)</f>
        <v>#N/A</v>
      </c>
    </row>
    <row r="471" customFormat="false" ht="14.25" hidden="false" customHeight="false" outlineLevel="0" collapsed="false">
      <c r="H471" s="91" t="e">
        <f aca="false">INDEX(Companies,MATCH(G471,StationIDs,0),1)</f>
        <v>#N/A</v>
      </c>
    </row>
    <row r="472" customFormat="false" ht="14.25" hidden="false" customHeight="false" outlineLevel="0" collapsed="false">
      <c r="H472" s="91" t="e">
        <f aca="false">INDEX(Companies,MATCH(G472,StationIDs,0),1)</f>
        <v>#N/A</v>
      </c>
    </row>
    <row r="473" customFormat="false" ht="14.25" hidden="false" customHeight="false" outlineLevel="0" collapsed="false">
      <c r="H473" s="91" t="e">
        <f aca="false">INDEX(Companies,MATCH(G473,StationIDs,0),1)</f>
        <v>#N/A</v>
      </c>
    </row>
    <row r="474" customFormat="false" ht="14.25" hidden="false" customHeight="false" outlineLevel="0" collapsed="false">
      <c r="H474" s="91" t="e">
        <f aca="false">INDEX(Companies,MATCH(G474,StationIDs,0),1)</f>
        <v>#N/A</v>
      </c>
    </row>
    <row r="475" customFormat="false" ht="14.25" hidden="false" customHeight="false" outlineLevel="0" collapsed="false">
      <c r="H475" s="91" t="e">
        <f aca="false">INDEX(Companies,MATCH(G475,StationIDs,0),1)</f>
        <v>#N/A</v>
      </c>
    </row>
    <row r="476" customFormat="false" ht="14.25" hidden="false" customHeight="false" outlineLevel="0" collapsed="false">
      <c r="H476" s="91" t="e">
        <f aca="false">INDEX(Companies,MATCH(G476,StationIDs,0),1)</f>
        <v>#N/A</v>
      </c>
    </row>
    <row r="477" customFormat="false" ht="14.25" hidden="false" customHeight="false" outlineLevel="0" collapsed="false">
      <c r="H477" s="91" t="e">
        <f aca="false">INDEX(Companies,MATCH(G477,StationIDs,0),1)</f>
        <v>#N/A</v>
      </c>
    </row>
    <row r="478" customFormat="false" ht="14.25" hidden="false" customHeight="false" outlineLevel="0" collapsed="false">
      <c r="H478" s="91" t="e">
        <f aca="false">INDEX(Companies,MATCH(G478,StationIDs,0),1)</f>
        <v>#N/A</v>
      </c>
    </row>
    <row r="479" customFormat="false" ht="14.25" hidden="false" customHeight="false" outlineLevel="0" collapsed="false">
      <c r="H479" s="91" t="e">
        <f aca="false">INDEX(Companies,MATCH(G479,StationIDs,0),1)</f>
        <v>#N/A</v>
      </c>
    </row>
    <row r="480" customFormat="false" ht="14.25" hidden="false" customHeight="false" outlineLevel="0" collapsed="false">
      <c r="H480" s="91" t="e">
        <f aca="false">INDEX(Companies,MATCH(G480,StationIDs,0),1)</f>
        <v>#N/A</v>
      </c>
    </row>
    <row r="481" customFormat="false" ht="14.25" hidden="false" customHeight="false" outlineLevel="0" collapsed="false">
      <c r="H481" s="91" t="e">
        <f aca="false">INDEX(Companies,MATCH(G481,StationIDs,0),1)</f>
        <v>#N/A</v>
      </c>
    </row>
    <row r="482" customFormat="false" ht="14.25" hidden="false" customHeight="false" outlineLevel="0" collapsed="false">
      <c r="H482" s="91" t="e">
        <f aca="false">INDEX(Companies,MATCH(G482,StationIDs,0),1)</f>
        <v>#N/A</v>
      </c>
    </row>
    <row r="483" customFormat="false" ht="14.25" hidden="false" customHeight="false" outlineLevel="0" collapsed="false">
      <c r="H483" s="91" t="e">
        <f aca="false">INDEX(Companies,MATCH(G483,StationIDs,0),1)</f>
        <v>#N/A</v>
      </c>
    </row>
    <row r="484" customFormat="false" ht="14.25" hidden="false" customHeight="false" outlineLevel="0" collapsed="false">
      <c r="H484" s="91" t="e">
        <f aca="false">INDEX(Companies,MATCH(G484,StationIDs,0),1)</f>
        <v>#N/A</v>
      </c>
    </row>
    <row r="485" customFormat="false" ht="14.25" hidden="false" customHeight="false" outlineLevel="0" collapsed="false">
      <c r="H485" s="91" t="e">
        <f aca="false">INDEX(Companies,MATCH(G485,StationIDs,0),1)</f>
        <v>#N/A</v>
      </c>
    </row>
    <row r="486" customFormat="false" ht="14.25" hidden="false" customHeight="false" outlineLevel="0" collapsed="false">
      <c r="H486" s="91" t="e">
        <f aca="false">INDEX(Companies,MATCH(G486,StationIDs,0),1)</f>
        <v>#N/A</v>
      </c>
    </row>
    <row r="487" customFormat="false" ht="14.25" hidden="false" customHeight="false" outlineLevel="0" collapsed="false">
      <c r="H487" s="91" t="e">
        <f aca="false">INDEX(Companies,MATCH(G487,StationIDs,0),1)</f>
        <v>#N/A</v>
      </c>
    </row>
    <row r="488" customFormat="false" ht="14.25" hidden="false" customHeight="false" outlineLevel="0" collapsed="false">
      <c r="H488" s="91" t="e">
        <f aca="false">INDEX(Companies,MATCH(G488,StationIDs,0),1)</f>
        <v>#N/A</v>
      </c>
    </row>
    <row r="489" customFormat="false" ht="14.25" hidden="false" customHeight="false" outlineLevel="0" collapsed="false">
      <c r="H489" s="91" t="e">
        <f aca="false">INDEX(Companies,MATCH(G489,StationIDs,0),1)</f>
        <v>#N/A</v>
      </c>
    </row>
    <row r="490" customFormat="false" ht="14.25" hidden="false" customHeight="false" outlineLevel="0" collapsed="false">
      <c r="H490" s="91" t="e">
        <f aca="false">INDEX(Companies,MATCH(G490,StationIDs,0),1)</f>
        <v>#N/A</v>
      </c>
    </row>
    <row r="491" customFormat="false" ht="14.25" hidden="false" customHeight="false" outlineLevel="0" collapsed="false">
      <c r="H491" s="91" t="e">
        <f aca="false">INDEX(Companies,MATCH(G491,StationIDs,0),1)</f>
        <v>#N/A</v>
      </c>
    </row>
    <row r="492" customFormat="false" ht="14.25" hidden="false" customHeight="false" outlineLevel="0" collapsed="false">
      <c r="H492" s="91" t="e">
        <f aca="false">INDEX(Companies,MATCH(G492,StationIDs,0),1)</f>
        <v>#N/A</v>
      </c>
    </row>
    <row r="493" customFormat="false" ht="14.25" hidden="false" customHeight="false" outlineLevel="0" collapsed="false">
      <c r="H493" s="91" t="e">
        <f aca="false">INDEX(Companies,MATCH(G493,StationIDs,0),1)</f>
        <v>#N/A</v>
      </c>
    </row>
    <row r="494" customFormat="false" ht="14.25" hidden="false" customHeight="false" outlineLevel="0" collapsed="false">
      <c r="H494" s="91" t="e">
        <f aca="false">INDEX(Companies,MATCH(G494,StationIDs,0),1)</f>
        <v>#N/A</v>
      </c>
    </row>
    <row r="495" customFormat="false" ht="14.25" hidden="false" customHeight="false" outlineLevel="0" collapsed="false">
      <c r="H495" s="91" t="e">
        <f aca="false">INDEX(Companies,MATCH(G495,StationIDs,0),1)</f>
        <v>#N/A</v>
      </c>
    </row>
    <row r="496" customFormat="false" ht="14.25" hidden="false" customHeight="false" outlineLevel="0" collapsed="false">
      <c r="H496" s="91" t="e">
        <f aca="false">INDEX(Companies,MATCH(G496,StationIDs,0),1)</f>
        <v>#N/A</v>
      </c>
    </row>
    <row r="497" customFormat="false" ht="14.25" hidden="false" customHeight="false" outlineLevel="0" collapsed="false">
      <c r="H497" s="91" t="e">
        <f aca="false">INDEX(Companies,MATCH(G497,StationIDs,0),1)</f>
        <v>#N/A</v>
      </c>
    </row>
    <row r="498" customFormat="false" ht="14.25" hidden="false" customHeight="false" outlineLevel="0" collapsed="false">
      <c r="H498" s="91" t="e">
        <f aca="false">INDEX(Companies,MATCH(G498,StationIDs,0),1)</f>
        <v>#N/A</v>
      </c>
    </row>
    <row r="499" customFormat="false" ht="14.25" hidden="false" customHeight="false" outlineLevel="0" collapsed="false">
      <c r="H499" s="91" t="e">
        <f aca="false">INDEX(Companies,MATCH(G499,StationIDs,0),1)</f>
        <v>#N/A</v>
      </c>
    </row>
    <row r="500" customFormat="false" ht="14.25" hidden="false" customHeight="false" outlineLevel="0" collapsed="false">
      <c r="H500" s="91" t="e">
        <f aca="false">INDEX(Companies,MATCH(G500,StationIDs,0),1)</f>
        <v>#N/A</v>
      </c>
    </row>
    <row r="501" customFormat="false" ht="14.25" hidden="false" customHeight="false" outlineLevel="0" collapsed="false">
      <c r="H501" s="91" t="e">
        <f aca="false">INDEX(Companies,MATCH(G501,StationIDs,0),1)</f>
        <v>#N/A</v>
      </c>
    </row>
    <row r="502" customFormat="false" ht="14.25" hidden="false" customHeight="false" outlineLevel="0" collapsed="false">
      <c r="H502" s="91" t="e">
        <f aca="false">INDEX(Companies,MATCH(G502,StationIDs,0),1)</f>
        <v>#N/A</v>
      </c>
    </row>
    <row r="503" customFormat="false" ht="14.25" hidden="false" customHeight="false" outlineLevel="0" collapsed="false">
      <c r="H503" s="91" t="e">
        <f aca="false">INDEX(Companies,MATCH(G503,StationIDs,0),1)</f>
        <v>#N/A</v>
      </c>
    </row>
    <row r="504" customFormat="false" ht="14.25" hidden="false" customHeight="false" outlineLevel="0" collapsed="false">
      <c r="H504" s="91" t="e">
        <f aca="false">INDEX(Companies,MATCH(G504,StationIDs,0),1)</f>
        <v>#N/A</v>
      </c>
    </row>
    <row r="505" customFormat="false" ht="14.25" hidden="false" customHeight="false" outlineLevel="0" collapsed="false">
      <c r="H505" s="91" t="e">
        <f aca="false">INDEX(Companies,MATCH(G505,StationIDs,0),1)</f>
        <v>#N/A</v>
      </c>
    </row>
    <row r="506" customFormat="false" ht="14.25" hidden="false" customHeight="false" outlineLevel="0" collapsed="false">
      <c r="H506" s="91" t="e">
        <f aca="false">INDEX(Companies,MATCH(G506,StationIDs,0),1)</f>
        <v>#N/A</v>
      </c>
    </row>
    <row r="507" customFormat="false" ht="14.25" hidden="false" customHeight="false" outlineLevel="0" collapsed="false">
      <c r="H507" s="91" t="e">
        <f aca="false">INDEX(Companies,MATCH(G507,StationIDs,0),1)</f>
        <v>#N/A</v>
      </c>
    </row>
    <row r="508" customFormat="false" ht="14.25" hidden="false" customHeight="false" outlineLevel="0" collapsed="false">
      <c r="H508" s="91" t="e">
        <f aca="false">INDEX(Companies,MATCH(G508,StationIDs,0),1)</f>
        <v>#N/A</v>
      </c>
    </row>
    <row r="509" customFormat="false" ht="14.25" hidden="false" customHeight="false" outlineLevel="0" collapsed="false">
      <c r="H509" s="91" t="e">
        <f aca="false">INDEX(Companies,MATCH(G509,StationIDs,0),1)</f>
        <v>#N/A</v>
      </c>
    </row>
    <row r="510" customFormat="false" ht="14.25" hidden="false" customHeight="false" outlineLevel="0" collapsed="false">
      <c r="H510" s="91" t="e">
        <f aca="false">INDEX(Companies,MATCH(G510,StationIDs,0),1)</f>
        <v>#N/A</v>
      </c>
    </row>
    <row r="511" customFormat="false" ht="14.25" hidden="false" customHeight="false" outlineLevel="0" collapsed="false">
      <c r="H511" s="91" t="e">
        <f aca="false">INDEX(Companies,MATCH(G511,StationIDs,0),1)</f>
        <v>#N/A</v>
      </c>
    </row>
    <row r="512" customFormat="false" ht="14.25" hidden="false" customHeight="false" outlineLevel="0" collapsed="false">
      <c r="H512" s="91" t="e">
        <f aca="false">INDEX(Companies,MATCH(G512,StationIDs,0),1)</f>
        <v>#N/A</v>
      </c>
    </row>
    <row r="513" customFormat="false" ht="14.25" hidden="false" customHeight="false" outlineLevel="0" collapsed="false">
      <c r="H513" s="91" t="e">
        <f aca="false">INDEX(Companies,MATCH(G513,StationIDs,0),1)</f>
        <v>#N/A</v>
      </c>
    </row>
    <row r="514" customFormat="false" ht="14.25" hidden="false" customHeight="false" outlineLevel="0" collapsed="false">
      <c r="H514" s="91" t="e">
        <f aca="false">INDEX(Companies,MATCH(G514,StationIDs,0),1)</f>
        <v>#N/A</v>
      </c>
    </row>
    <row r="515" customFormat="false" ht="14.25" hidden="false" customHeight="false" outlineLevel="0" collapsed="false">
      <c r="H515" s="91" t="e">
        <f aca="false">INDEX(Companies,MATCH(G515,StationIDs,0),1)</f>
        <v>#N/A</v>
      </c>
    </row>
    <row r="516" customFormat="false" ht="14.25" hidden="false" customHeight="false" outlineLevel="0" collapsed="false">
      <c r="H516" s="91" t="e">
        <f aca="false">INDEX(Companies,MATCH(G516,StationIDs,0),1)</f>
        <v>#N/A</v>
      </c>
    </row>
    <row r="517" customFormat="false" ht="14.25" hidden="false" customHeight="false" outlineLevel="0" collapsed="false">
      <c r="H517" s="91" t="e">
        <f aca="false">INDEX(Companies,MATCH(G517,StationIDs,0),1)</f>
        <v>#N/A</v>
      </c>
    </row>
    <row r="518" customFormat="false" ht="14.25" hidden="false" customHeight="false" outlineLevel="0" collapsed="false">
      <c r="H518" s="91" t="e">
        <f aca="false">INDEX(Companies,MATCH(G518,StationIDs,0),1)</f>
        <v>#N/A</v>
      </c>
    </row>
    <row r="519" customFormat="false" ht="14.25" hidden="false" customHeight="false" outlineLevel="0" collapsed="false">
      <c r="H519" s="91" t="e">
        <f aca="false">INDEX(Companies,MATCH(G519,StationIDs,0),1)</f>
        <v>#N/A</v>
      </c>
    </row>
    <row r="520" customFormat="false" ht="14.25" hidden="false" customHeight="false" outlineLevel="0" collapsed="false">
      <c r="H520" s="91" t="e">
        <f aca="false">INDEX(Companies,MATCH(G520,StationIDs,0),1)</f>
        <v>#N/A</v>
      </c>
    </row>
    <row r="521" customFormat="false" ht="14.25" hidden="false" customHeight="false" outlineLevel="0" collapsed="false">
      <c r="H521" s="91" t="e">
        <f aca="false">INDEX(Companies,MATCH(G521,StationIDs,0),1)</f>
        <v>#N/A</v>
      </c>
    </row>
    <row r="522" customFormat="false" ht="14.25" hidden="false" customHeight="false" outlineLevel="0" collapsed="false">
      <c r="H522" s="91" t="e">
        <f aca="false">INDEX(Companies,MATCH(G522,StationIDs,0),1)</f>
        <v>#N/A</v>
      </c>
    </row>
    <row r="523" customFormat="false" ht="14.25" hidden="false" customHeight="false" outlineLevel="0" collapsed="false">
      <c r="H523" s="91" t="e">
        <f aca="false">INDEX(Companies,MATCH(G523,StationIDs,0),1)</f>
        <v>#N/A</v>
      </c>
    </row>
    <row r="524" customFormat="false" ht="14.25" hidden="false" customHeight="false" outlineLevel="0" collapsed="false">
      <c r="H524" s="91" t="e">
        <f aca="false">INDEX(Companies,MATCH(G524,StationIDs,0),1)</f>
        <v>#N/A</v>
      </c>
    </row>
    <row r="525" customFormat="false" ht="14.25" hidden="false" customHeight="false" outlineLevel="0" collapsed="false">
      <c r="H525" s="91" t="e">
        <f aca="false">INDEX(Companies,MATCH(G525,StationIDs,0),1)</f>
        <v>#N/A</v>
      </c>
    </row>
    <row r="526" customFormat="false" ht="14.25" hidden="false" customHeight="false" outlineLevel="0" collapsed="false">
      <c r="H526" s="91" t="e">
        <f aca="false">INDEX(Companies,MATCH(G526,StationIDs,0),1)</f>
        <v>#N/A</v>
      </c>
    </row>
    <row r="527" customFormat="false" ht="14.25" hidden="false" customHeight="false" outlineLevel="0" collapsed="false">
      <c r="H527" s="91" t="e">
        <f aca="false">INDEX(Companies,MATCH(G527,StationIDs,0),1)</f>
        <v>#N/A</v>
      </c>
    </row>
    <row r="528" customFormat="false" ht="14.25" hidden="false" customHeight="false" outlineLevel="0" collapsed="false">
      <c r="H528" s="91" t="e">
        <f aca="false">INDEX(Companies,MATCH(G528,StationIDs,0),1)</f>
        <v>#N/A</v>
      </c>
    </row>
    <row r="529" customFormat="false" ht="14.25" hidden="false" customHeight="false" outlineLevel="0" collapsed="false">
      <c r="H529" s="91" t="e">
        <f aca="false">INDEX(Companies,MATCH(G529,StationIDs,0),1)</f>
        <v>#N/A</v>
      </c>
    </row>
    <row r="530" customFormat="false" ht="14.25" hidden="false" customHeight="false" outlineLevel="0" collapsed="false">
      <c r="H530" s="91" t="e">
        <f aca="false">INDEX(Companies,MATCH(G530,StationIDs,0),1)</f>
        <v>#N/A</v>
      </c>
    </row>
    <row r="531" customFormat="false" ht="14.25" hidden="false" customHeight="false" outlineLevel="0" collapsed="false">
      <c r="H531" s="91" t="e">
        <f aca="false">INDEX(Companies,MATCH(G531,StationIDs,0),1)</f>
        <v>#N/A</v>
      </c>
    </row>
    <row r="532" customFormat="false" ht="14.25" hidden="false" customHeight="false" outlineLevel="0" collapsed="false">
      <c r="H532" s="91" t="e">
        <f aca="false">INDEX(Companies,MATCH(G532,StationIDs,0),1)</f>
        <v>#N/A</v>
      </c>
    </row>
    <row r="533" customFormat="false" ht="14.25" hidden="false" customHeight="false" outlineLevel="0" collapsed="false">
      <c r="H533" s="91" t="e">
        <f aca="false">INDEX(Companies,MATCH(G533,StationIDs,0),1)</f>
        <v>#N/A</v>
      </c>
    </row>
    <row r="534" customFormat="false" ht="14.25" hidden="false" customHeight="false" outlineLevel="0" collapsed="false">
      <c r="H534" s="91" t="e">
        <f aca="false">INDEX(Companies,MATCH(G534,StationIDs,0),1)</f>
        <v>#N/A</v>
      </c>
    </row>
    <row r="535" customFormat="false" ht="14.25" hidden="false" customHeight="false" outlineLevel="0" collapsed="false">
      <c r="H535" s="91" t="e">
        <f aca="false">INDEX(Companies,MATCH(G535,StationIDs,0),1)</f>
        <v>#N/A</v>
      </c>
    </row>
    <row r="536" customFormat="false" ht="14.25" hidden="false" customHeight="false" outlineLevel="0" collapsed="false">
      <c r="H536" s="91" t="e">
        <f aca="false">INDEX(Companies,MATCH(G536,StationIDs,0),1)</f>
        <v>#N/A</v>
      </c>
    </row>
    <row r="537" customFormat="false" ht="14.25" hidden="false" customHeight="false" outlineLevel="0" collapsed="false">
      <c r="H537" s="91" t="e">
        <f aca="false">INDEX(Companies,MATCH(G537,StationIDs,0),1)</f>
        <v>#N/A</v>
      </c>
    </row>
    <row r="538" customFormat="false" ht="14.25" hidden="false" customHeight="false" outlineLevel="0" collapsed="false">
      <c r="H538" s="91" t="e">
        <f aca="false">INDEX(Companies,MATCH(G538,StationIDs,0),1)</f>
        <v>#N/A</v>
      </c>
    </row>
    <row r="539" customFormat="false" ht="14.25" hidden="false" customHeight="false" outlineLevel="0" collapsed="false">
      <c r="H539" s="91" t="e">
        <f aca="false">INDEX(Companies,MATCH(G539,StationIDs,0),1)</f>
        <v>#N/A</v>
      </c>
    </row>
    <row r="540" customFormat="false" ht="14.25" hidden="false" customHeight="false" outlineLevel="0" collapsed="false">
      <c r="H540" s="91" t="e">
        <f aca="false">INDEX(Companies,MATCH(G540,StationIDs,0),1)</f>
        <v>#N/A</v>
      </c>
    </row>
    <row r="541" customFormat="false" ht="14.25" hidden="false" customHeight="false" outlineLevel="0" collapsed="false">
      <c r="H541" s="91" t="e">
        <f aca="false">INDEX(Companies,MATCH(G541,StationIDs,0),1)</f>
        <v>#N/A</v>
      </c>
    </row>
    <row r="542" customFormat="false" ht="14.25" hidden="false" customHeight="false" outlineLevel="0" collapsed="false">
      <c r="H542" s="91" t="e">
        <f aca="false">INDEX(Companies,MATCH(G542,StationIDs,0),1)</f>
        <v>#N/A</v>
      </c>
    </row>
    <row r="543" customFormat="false" ht="14.25" hidden="false" customHeight="false" outlineLevel="0" collapsed="false">
      <c r="H543" s="91" t="e">
        <f aca="false">INDEX(Companies,MATCH(G543,StationIDs,0),1)</f>
        <v>#N/A</v>
      </c>
    </row>
    <row r="544" customFormat="false" ht="14.25" hidden="false" customHeight="false" outlineLevel="0" collapsed="false">
      <c r="H544" s="91" t="e">
        <f aca="false">INDEX(Companies,MATCH(G544,StationIDs,0),1)</f>
        <v>#N/A</v>
      </c>
    </row>
    <row r="545" customFormat="false" ht="14.25" hidden="false" customHeight="false" outlineLevel="0" collapsed="false">
      <c r="H545" s="91" t="e">
        <f aca="false">INDEX(Companies,MATCH(G545,StationIDs,0),1)</f>
        <v>#N/A</v>
      </c>
    </row>
    <row r="546" customFormat="false" ht="14.25" hidden="false" customHeight="false" outlineLevel="0" collapsed="false">
      <c r="H546" s="91" t="e">
        <f aca="false">INDEX(Companies,MATCH(G546,StationIDs,0),1)</f>
        <v>#N/A</v>
      </c>
    </row>
    <row r="547" customFormat="false" ht="14.25" hidden="false" customHeight="false" outlineLevel="0" collapsed="false">
      <c r="H547" s="91" t="e">
        <f aca="false">INDEX(Companies,MATCH(G547,StationIDs,0),1)</f>
        <v>#N/A</v>
      </c>
    </row>
    <row r="548" customFormat="false" ht="14.25" hidden="false" customHeight="false" outlineLevel="0" collapsed="false">
      <c r="H548" s="91" t="e">
        <f aca="false">INDEX(Companies,MATCH(G548,StationIDs,0),1)</f>
        <v>#N/A</v>
      </c>
    </row>
    <row r="549" customFormat="false" ht="14.25" hidden="false" customHeight="false" outlineLevel="0" collapsed="false">
      <c r="H549" s="91" t="e">
        <f aca="false">INDEX(Companies,MATCH(G549,StationIDs,0),1)</f>
        <v>#N/A</v>
      </c>
    </row>
    <row r="550" customFormat="false" ht="14.25" hidden="false" customHeight="false" outlineLevel="0" collapsed="false">
      <c r="H550" s="91" t="e">
        <f aca="false">INDEX(Companies,MATCH(G550,StationIDs,0),1)</f>
        <v>#N/A</v>
      </c>
    </row>
    <row r="551" customFormat="false" ht="14.25" hidden="false" customHeight="false" outlineLevel="0" collapsed="false">
      <c r="H551" s="91" t="e">
        <f aca="false">INDEX(Companies,MATCH(G551,StationIDs,0),1)</f>
        <v>#N/A</v>
      </c>
    </row>
    <row r="552" customFormat="false" ht="14.25" hidden="false" customHeight="false" outlineLevel="0" collapsed="false">
      <c r="H552" s="91" t="e">
        <f aca="false">INDEX(Companies,MATCH(G552,StationIDs,0),1)</f>
        <v>#N/A</v>
      </c>
    </row>
    <row r="553" customFormat="false" ht="14.25" hidden="false" customHeight="false" outlineLevel="0" collapsed="false">
      <c r="H553" s="91" t="e">
        <f aca="false">INDEX(Companies,MATCH(G553,StationIDs,0),1)</f>
        <v>#N/A</v>
      </c>
    </row>
    <row r="554" customFormat="false" ht="14.25" hidden="false" customHeight="false" outlineLevel="0" collapsed="false">
      <c r="H554" s="91" t="e">
        <f aca="false">INDEX(Companies,MATCH(G554,StationIDs,0),1)</f>
        <v>#N/A</v>
      </c>
    </row>
    <row r="555" customFormat="false" ht="14.25" hidden="false" customHeight="false" outlineLevel="0" collapsed="false">
      <c r="H555" s="91" t="e">
        <f aca="false">INDEX(Companies,MATCH(G555,StationIDs,0),1)</f>
        <v>#N/A</v>
      </c>
    </row>
    <row r="556" customFormat="false" ht="14.25" hidden="false" customHeight="false" outlineLevel="0" collapsed="false">
      <c r="H556" s="91" t="e">
        <f aca="false">INDEX(Companies,MATCH(G556,StationIDs,0),1)</f>
        <v>#N/A</v>
      </c>
    </row>
    <row r="557" customFormat="false" ht="14.25" hidden="false" customHeight="false" outlineLevel="0" collapsed="false">
      <c r="H557" s="91" t="e">
        <f aca="false">INDEX(Companies,MATCH(G557,StationIDs,0),1)</f>
        <v>#N/A</v>
      </c>
    </row>
    <row r="558" customFormat="false" ht="14.25" hidden="false" customHeight="false" outlineLevel="0" collapsed="false">
      <c r="H558" s="91" t="e">
        <f aca="false">INDEX(Companies,MATCH(G558,StationIDs,0),1)</f>
        <v>#N/A</v>
      </c>
    </row>
    <row r="559" customFormat="false" ht="14.25" hidden="false" customHeight="false" outlineLevel="0" collapsed="false">
      <c r="H559" s="91" t="e">
        <f aca="false">INDEX(Companies,MATCH(G559,StationIDs,0),1)</f>
        <v>#N/A</v>
      </c>
    </row>
    <row r="560" customFormat="false" ht="14.25" hidden="false" customHeight="false" outlineLevel="0" collapsed="false">
      <c r="H560" s="91" t="e">
        <f aca="false">INDEX(Companies,MATCH(G560,StationIDs,0),1)</f>
        <v>#N/A</v>
      </c>
    </row>
    <row r="561" customFormat="false" ht="14.25" hidden="false" customHeight="false" outlineLevel="0" collapsed="false">
      <c r="H561" s="91" t="e">
        <f aca="false">INDEX(Companies,MATCH(G561,StationIDs,0),1)</f>
        <v>#N/A</v>
      </c>
    </row>
    <row r="562" customFormat="false" ht="14.25" hidden="false" customHeight="false" outlineLevel="0" collapsed="false">
      <c r="H562" s="91" t="e">
        <f aca="false">INDEX(Companies,MATCH(G562,StationIDs,0),1)</f>
        <v>#N/A</v>
      </c>
    </row>
    <row r="563" customFormat="false" ht="14.25" hidden="false" customHeight="false" outlineLevel="0" collapsed="false">
      <c r="H563" s="91" t="e">
        <f aca="false">INDEX(Companies,MATCH(G563,StationIDs,0),1)</f>
        <v>#N/A</v>
      </c>
    </row>
    <row r="564" customFormat="false" ht="14.25" hidden="false" customHeight="false" outlineLevel="0" collapsed="false">
      <c r="H564" s="91" t="e">
        <f aca="false">INDEX(Companies,MATCH(G564,StationIDs,0),1)</f>
        <v>#N/A</v>
      </c>
    </row>
    <row r="565" customFormat="false" ht="14.25" hidden="false" customHeight="false" outlineLevel="0" collapsed="false">
      <c r="H565" s="91" t="e">
        <f aca="false">INDEX(Companies,MATCH(G565,StationIDs,0),1)</f>
        <v>#N/A</v>
      </c>
    </row>
    <row r="566" customFormat="false" ht="14.25" hidden="false" customHeight="false" outlineLevel="0" collapsed="false">
      <c r="H566" s="91" t="e">
        <f aca="false">INDEX(Companies,MATCH(G566,StationIDs,0),1)</f>
        <v>#N/A</v>
      </c>
    </row>
    <row r="567" customFormat="false" ht="14.25" hidden="false" customHeight="false" outlineLevel="0" collapsed="false">
      <c r="H567" s="91" t="e">
        <f aca="false">INDEX(Companies,MATCH(G567,StationIDs,0),1)</f>
        <v>#N/A</v>
      </c>
    </row>
    <row r="568" customFormat="false" ht="14.25" hidden="false" customHeight="false" outlineLevel="0" collapsed="false">
      <c r="H568" s="91" t="e">
        <f aca="false">INDEX(Companies,MATCH(G568,StationIDs,0),1)</f>
        <v>#N/A</v>
      </c>
    </row>
    <row r="569" customFormat="false" ht="14.25" hidden="false" customHeight="false" outlineLevel="0" collapsed="false">
      <c r="H569" s="91" t="e">
        <f aca="false">INDEX(Companies,MATCH(G569,StationIDs,0),1)</f>
        <v>#N/A</v>
      </c>
    </row>
    <row r="570" customFormat="false" ht="14.25" hidden="false" customHeight="false" outlineLevel="0" collapsed="false">
      <c r="H570" s="91" t="e">
        <f aca="false">INDEX(Companies,MATCH(G570,StationIDs,0),1)</f>
        <v>#N/A</v>
      </c>
    </row>
    <row r="571" customFormat="false" ht="14.25" hidden="false" customHeight="false" outlineLevel="0" collapsed="false">
      <c r="H571" s="91" t="e">
        <f aca="false">INDEX(Companies,MATCH(G571,StationIDs,0),1)</f>
        <v>#N/A</v>
      </c>
    </row>
    <row r="572" customFormat="false" ht="14.25" hidden="false" customHeight="false" outlineLevel="0" collapsed="false">
      <c r="H572" s="91" t="e">
        <f aca="false">INDEX(Companies,MATCH(G572,StationIDs,0),1)</f>
        <v>#N/A</v>
      </c>
    </row>
    <row r="573" customFormat="false" ht="14.25" hidden="false" customHeight="false" outlineLevel="0" collapsed="false">
      <c r="H573" s="91" t="e">
        <f aca="false">INDEX(Companies,MATCH(G573,StationIDs,0),1)</f>
        <v>#N/A</v>
      </c>
    </row>
    <row r="574" customFormat="false" ht="14.25" hidden="false" customHeight="false" outlineLevel="0" collapsed="false">
      <c r="H574" s="91" t="e">
        <f aca="false">INDEX(Companies,MATCH(G574,StationIDs,0),1)</f>
        <v>#N/A</v>
      </c>
    </row>
    <row r="575" customFormat="false" ht="14.25" hidden="false" customHeight="false" outlineLevel="0" collapsed="false">
      <c r="H575" s="91" t="e">
        <f aca="false">INDEX(Companies,MATCH(G575,StationIDs,0),1)</f>
        <v>#N/A</v>
      </c>
    </row>
    <row r="576" customFormat="false" ht="14.25" hidden="false" customHeight="false" outlineLevel="0" collapsed="false">
      <c r="H576" s="91" t="e">
        <f aca="false">INDEX(Companies,MATCH(G576,StationIDs,0),1)</f>
        <v>#N/A</v>
      </c>
    </row>
    <row r="577" customFormat="false" ht="14.25" hidden="false" customHeight="false" outlineLevel="0" collapsed="false">
      <c r="H577" s="91" t="e">
        <f aca="false">INDEX(Companies,MATCH(G577,StationIDs,0),1)</f>
        <v>#N/A</v>
      </c>
    </row>
    <row r="578" customFormat="false" ht="14.25" hidden="false" customHeight="false" outlineLevel="0" collapsed="false">
      <c r="H578" s="91" t="e">
        <f aca="false">INDEX(Companies,MATCH(G578,StationIDs,0),1)</f>
        <v>#N/A</v>
      </c>
    </row>
    <row r="579" customFormat="false" ht="14.25" hidden="false" customHeight="false" outlineLevel="0" collapsed="false">
      <c r="H579" s="91" t="e">
        <f aca="false">INDEX(Companies,MATCH(G579,StationIDs,0),1)</f>
        <v>#N/A</v>
      </c>
    </row>
    <row r="580" customFormat="false" ht="14.25" hidden="false" customHeight="false" outlineLevel="0" collapsed="false">
      <c r="H580" s="91" t="e">
        <f aca="false">INDEX(Companies,MATCH(G580,StationIDs,0),1)</f>
        <v>#N/A</v>
      </c>
    </row>
    <row r="581" customFormat="false" ht="14.25" hidden="false" customHeight="false" outlineLevel="0" collapsed="false">
      <c r="H581" s="91" t="e">
        <f aca="false">INDEX(Companies,MATCH(G581,StationIDs,0),1)</f>
        <v>#N/A</v>
      </c>
    </row>
    <row r="582" customFormat="false" ht="14.25" hidden="false" customHeight="false" outlineLevel="0" collapsed="false">
      <c r="H582" s="91" t="e">
        <f aca="false">INDEX(Companies,MATCH(G582,StationIDs,0),1)</f>
        <v>#N/A</v>
      </c>
    </row>
    <row r="583" customFormat="false" ht="14.25" hidden="false" customHeight="false" outlineLevel="0" collapsed="false">
      <c r="H583" s="91" t="e">
        <f aca="false">INDEX(Companies,MATCH(G583,StationIDs,0),1)</f>
        <v>#N/A</v>
      </c>
    </row>
    <row r="584" customFormat="false" ht="14.25" hidden="false" customHeight="false" outlineLevel="0" collapsed="false">
      <c r="H584" s="91" t="e">
        <f aca="false">INDEX(Companies,MATCH(G584,StationIDs,0),1)</f>
        <v>#N/A</v>
      </c>
    </row>
    <row r="585" customFormat="false" ht="14.25" hidden="false" customHeight="false" outlineLevel="0" collapsed="false">
      <c r="H585" s="91" t="e">
        <f aca="false">INDEX(Companies,MATCH(G585,StationIDs,0),1)</f>
        <v>#N/A</v>
      </c>
    </row>
    <row r="586" customFormat="false" ht="14.25" hidden="false" customHeight="false" outlineLevel="0" collapsed="false">
      <c r="H586" s="91" t="e">
        <f aca="false">INDEX(Companies,MATCH(G586,StationIDs,0),1)</f>
        <v>#N/A</v>
      </c>
    </row>
    <row r="587" customFormat="false" ht="14.25" hidden="false" customHeight="false" outlineLevel="0" collapsed="false">
      <c r="H587" s="91" t="e">
        <f aca="false">INDEX(Companies,MATCH(G587,StationIDs,0),1)</f>
        <v>#N/A</v>
      </c>
    </row>
    <row r="588" customFormat="false" ht="14.25" hidden="false" customHeight="false" outlineLevel="0" collapsed="false">
      <c r="H588" s="91" t="e">
        <f aca="false">INDEX(Companies,MATCH(G588,StationIDs,0),1)</f>
        <v>#N/A</v>
      </c>
    </row>
    <row r="589" customFormat="false" ht="14.25" hidden="false" customHeight="false" outlineLevel="0" collapsed="false">
      <c r="H589" s="91" t="e">
        <f aca="false">INDEX(Companies,MATCH(G589,StationIDs,0),1)</f>
        <v>#N/A</v>
      </c>
    </row>
    <row r="590" customFormat="false" ht="14.25" hidden="false" customHeight="false" outlineLevel="0" collapsed="false">
      <c r="H590" s="91" t="e">
        <f aca="false">INDEX(Companies,MATCH(G590,StationIDs,0),1)</f>
        <v>#N/A</v>
      </c>
    </row>
    <row r="591" customFormat="false" ht="14.25" hidden="false" customHeight="false" outlineLevel="0" collapsed="false">
      <c r="H591" s="91" t="e">
        <f aca="false">INDEX(Companies,MATCH(G591,StationIDs,0),1)</f>
        <v>#N/A</v>
      </c>
    </row>
    <row r="592" customFormat="false" ht="14.25" hidden="false" customHeight="false" outlineLevel="0" collapsed="false">
      <c r="H592" s="91" t="e">
        <f aca="false">INDEX(Companies,MATCH(G592,StationIDs,0),1)</f>
        <v>#N/A</v>
      </c>
    </row>
    <row r="593" customFormat="false" ht="14.25" hidden="false" customHeight="false" outlineLevel="0" collapsed="false">
      <c r="H593" s="91" t="e">
        <f aca="false">INDEX(Companies,MATCH(G593,StationIDs,0),1)</f>
        <v>#N/A</v>
      </c>
    </row>
    <row r="594" customFormat="false" ht="14.25" hidden="false" customHeight="false" outlineLevel="0" collapsed="false">
      <c r="H594" s="91" t="e">
        <f aca="false">INDEX(Companies,MATCH(G594,StationIDs,0),1)</f>
        <v>#N/A</v>
      </c>
    </row>
    <row r="595" customFormat="false" ht="14.25" hidden="false" customHeight="false" outlineLevel="0" collapsed="false">
      <c r="H595" s="91" t="e">
        <f aca="false">INDEX(Companies,MATCH(G595,StationIDs,0),1)</f>
        <v>#N/A</v>
      </c>
    </row>
    <row r="596" customFormat="false" ht="14.25" hidden="false" customHeight="false" outlineLevel="0" collapsed="false">
      <c r="H596" s="91" t="e">
        <f aca="false">INDEX(Companies,MATCH(G596,StationIDs,0),1)</f>
        <v>#N/A</v>
      </c>
    </row>
    <row r="597" customFormat="false" ht="14.25" hidden="false" customHeight="false" outlineLevel="0" collapsed="false">
      <c r="H597" s="91" t="e">
        <f aca="false">INDEX(Companies,MATCH(G597,StationIDs,0),1)</f>
        <v>#N/A</v>
      </c>
    </row>
    <row r="598" customFormat="false" ht="14.25" hidden="false" customHeight="false" outlineLevel="0" collapsed="false">
      <c r="H598" s="91" t="e">
        <f aca="false">INDEX(Companies,MATCH(G598,StationIDs,0),1)</f>
        <v>#N/A</v>
      </c>
    </row>
    <row r="599" customFormat="false" ht="14.25" hidden="false" customHeight="false" outlineLevel="0" collapsed="false">
      <c r="H599" s="91" t="e">
        <f aca="false">INDEX(Companies,MATCH(G599,StationIDs,0),1)</f>
        <v>#N/A</v>
      </c>
    </row>
    <row r="600" customFormat="false" ht="14.25" hidden="false" customHeight="false" outlineLevel="0" collapsed="false">
      <c r="H600" s="91" t="e">
        <f aca="false">INDEX(Companies,MATCH(G600,StationIDs,0),1)</f>
        <v>#N/A</v>
      </c>
    </row>
    <row r="601" customFormat="false" ht="14.25" hidden="false" customHeight="false" outlineLevel="0" collapsed="false">
      <c r="H601" s="91" t="e">
        <f aca="false">INDEX(Companies,MATCH(G601,StationIDs,0),1)</f>
        <v>#N/A</v>
      </c>
    </row>
    <row r="602" customFormat="false" ht="14.25" hidden="false" customHeight="false" outlineLevel="0" collapsed="false">
      <c r="H602" s="91" t="e">
        <f aca="false">INDEX(Companies,MATCH(G602,StationIDs,0),1)</f>
        <v>#N/A</v>
      </c>
    </row>
    <row r="603" customFormat="false" ht="14.25" hidden="false" customHeight="false" outlineLevel="0" collapsed="false">
      <c r="H603" s="91" t="e">
        <f aca="false">INDEX(Companies,MATCH(G603,StationIDs,0),1)</f>
        <v>#N/A</v>
      </c>
    </row>
    <row r="604" customFormat="false" ht="14.25" hidden="false" customHeight="false" outlineLevel="0" collapsed="false">
      <c r="H604" s="91" t="e">
        <f aca="false">INDEX(Companies,MATCH(G604,StationIDs,0),1)</f>
        <v>#N/A</v>
      </c>
    </row>
    <row r="605" customFormat="false" ht="14.25" hidden="false" customHeight="false" outlineLevel="0" collapsed="false">
      <c r="H605" s="91" t="e">
        <f aca="false">INDEX(Companies,MATCH(G605,StationIDs,0),1)</f>
        <v>#N/A</v>
      </c>
    </row>
    <row r="606" customFormat="false" ht="14.25" hidden="false" customHeight="false" outlineLevel="0" collapsed="false">
      <c r="H606" s="91" t="e">
        <f aca="false">INDEX(Companies,MATCH(G606,StationIDs,0),1)</f>
        <v>#N/A</v>
      </c>
    </row>
    <row r="607" customFormat="false" ht="14.25" hidden="false" customHeight="false" outlineLevel="0" collapsed="false">
      <c r="H607" s="91" t="e">
        <f aca="false">INDEX(Companies,MATCH(G607,StationIDs,0),1)</f>
        <v>#N/A</v>
      </c>
    </row>
    <row r="608" customFormat="false" ht="14.25" hidden="false" customHeight="false" outlineLevel="0" collapsed="false">
      <c r="H608" s="91" t="e">
        <f aca="false">INDEX(Companies,MATCH(G608,StationIDs,0),1)</f>
        <v>#N/A</v>
      </c>
    </row>
    <row r="609" customFormat="false" ht="14.25" hidden="false" customHeight="false" outlineLevel="0" collapsed="false">
      <c r="H609" s="91" t="e">
        <f aca="false">INDEX(Companies,MATCH(G609,StationIDs,0),1)</f>
        <v>#N/A</v>
      </c>
    </row>
    <row r="610" customFormat="false" ht="14.25" hidden="false" customHeight="false" outlineLevel="0" collapsed="false">
      <c r="H610" s="91" t="e">
        <f aca="false">INDEX(Companies,MATCH(G610,StationIDs,0),1)</f>
        <v>#N/A</v>
      </c>
    </row>
    <row r="611" customFormat="false" ht="14.25" hidden="false" customHeight="false" outlineLevel="0" collapsed="false">
      <c r="H611" s="91" t="e">
        <f aca="false">INDEX(Companies,MATCH(G611,StationIDs,0),1)</f>
        <v>#N/A</v>
      </c>
    </row>
    <row r="612" customFormat="false" ht="14.25" hidden="false" customHeight="false" outlineLevel="0" collapsed="false">
      <c r="H612" s="91" t="e">
        <f aca="false">INDEX(Companies,MATCH(G612,StationIDs,0),1)</f>
        <v>#N/A</v>
      </c>
    </row>
    <row r="613" customFormat="false" ht="14.25" hidden="false" customHeight="false" outlineLevel="0" collapsed="false">
      <c r="H613" s="91" t="e">
        <f aca="false">INDEX(Companies,MATCH(G613,StationIDs,0),1)</f>
        <v>#N/A</v>
      </c>
    </row>
    <row r="614" customFormat="false" ht="14.25" hidden="false" customHeight="false" outlineLevel="0" collapsed="false">
      <c r="H614" s="91" t="e">
        <f aca="false">INDEX(Companies,MATCH(G614,StationIDs,0),1)</f>
        <v>#N/A</v>
      </c>
    </row>
    <row r="615" customFormat="false" ht="14.25" hidden="false" customHeight="false" outlineLevel="0" collapsed="false">
      <c r="H615" s="91" t="e">
        <f aca="false">INDEX(Companies,MATCH(G615,StationIDs,0),1)</f>
        <v>#N/A</v>
      </c>
    </row>
    <row r="616" customFormat="false" ht="14.25" hidden="false" customHeight="false" outlineLevel="0" collapsed="false">
      <c r="H616" s="91" t="e">
        <f aca="false">INDEX(Companies,MATCH(G616,StationIDs,0),1)</f>
        <v>#N/A</v>
      </c>
    </row>
    <row r="617" customFormat="false" ht="14.25" hidden="false" customHeight="false" outlineLevel="0" collapsed="false">
      <c r="H617" s="91" t="e">
        <f aca="false">INDEX(Companies,MATCH(G617,StationIDs,0),1)</f>
        <v>#N/A</v>
      </c>
    </row>
    <row r="618" customFormat="false" ht="14.25" hidden="false" customHeight="false" outlineLevel="0" collapsed="false">
      <c r="H618" s="91" t="e">
        <f aca="false">INDEX(Companies,MATCH(G618,StationIDs,0),1)</f>
        <v>#N/A</v>
      </c>
    </row>
    <row r="619" customFormat="false" ht="14.25" hidden="false" customHeight="false" outlineLevel="0" collapsed="false">
      <c r="H619" s="91" t="e">
        <f aca="false">INDEX(Companies,MATCH(G619,StationIDs,0),1)</f>
        <v>#N/A</v>
      </c>
    </row>
    <row r="620" customFormat="false" ht="14.25" hidden="false" customHeight="false" outlineLevel="0" collapsed="false">
      <c r="H620" s="91" t="e">
        <f aca="false">INDEX(Companies,MATCH(G620,StationIDs,0),1)</f>
        <v>#N/A</v>
      </c>
    </row>
    <row r="621" customFormat="false" ht="14.25" hidden="false" customHeight="false" outlineLevel="0" collapsed="false">
      <c r="H621" s="91" t="e">
        <f aca="false">INDEX(Companies,MATCH(G621,StationIDs,0),1)</f>
        <v>#N/A</v>
      </c>
    </row>
    <row r="622" customFormat="false" ht="14.25" hidden="false" customHeight="false" outlineLevel="0" collapsed="false">
      <c r="H622" s="91" t="e">
        <f aca="false">INDEX(Companies,MATCH(G622,StationIDs,0),1)</f>
        <v>#N/A</v>
      </c>
    </row>
    <row r="623" customFormat="false" ht="14.25" hidden="false" customHeight="false" outlineLevel="0" collapsed="false">
      <c r="H623" s="91" t="e">
        <f aca="false">INDEX(Companies,MATCH(G623,StationIDs,0),1)</f>
        <v>#N/A</v>
      </c>
    </row>
    <row r="624" customFormat="false" ht="14.25" hidden="false" customHeight="false" outlineLevel="0" collapsed="false">
      <c r="H624" s="91" t="e">
        <f aca="false">INDEX(Companies,MATCH(G624,StationIDs,0),1)</f>
        <v>#N/A</v>
      </c>
    </row>
    <row r="625" customFormat="false" ht="14.25" hidden="false" customHeight="false" outlineLevel="0" collapsed="false">
      <c r="H625" s="91" t="e">
        <f aca="false">INDEX(Companies,MATCH(G625,StationIDs,0),1)</f>
        <v>#N/A</v>
      </c>
    </row>
    <row r="626" customFormat="false" ht="14.25" hidden="false" customHeight="false" outlineLevel="0" collapsed="false">
      <c r="H626" s="91" t="e">
        <f aca="false">INDEX(Companies,MATCH(G626,StationIDs,0),1)</f>
        <v>#N/A</v>
      </c>
    </row>
    <row r="627" customFormat="false" ht="14.25" hidden="false" customHeight="false" outlineLevel="0" collapsed="false">
      <c r="H627" s="91" t="e">
        <f aca="false">INDEX(Companies,MATCH(G627,StationIDs,0),1)</f>
        <v>#N/A</v>
      </c>
    </row>
    <row r="628" customFormat="false" ht="14.25" hidden="false" customHeight="false" outlineLevel="0" collapsed="false">
      <c r="H628" s="91" t="e">
        <f aca="false">INDEX(Companies,MATCH(G628,StationIDs,0),1)</f>
        <v>#N/A</v>
      </c>
    </row>
    <row r="629" customFormat="false" ht="14.25" hidden="false" customHeight="false" outlineLevel="0" collapsed="false">
      <c r="H629" s="91" t="e">
        <f aca="false">INDEX(Companies,MATCH(G629,StationIDs,0),1)</f>
        <v>#N/A</v>
      </c>
    </row>
    <row r="630" customFormat="false" ht="14.25" hidden="false" customHeight="false" outlineLevel="0" collapsed="false">
      <c r="H630" s="91" t="e">
        <f aca="false">INDEX(Companies,MATCH(G630,StationIDs,0),1)</f>
        <v>#N/A</v>
      </c>
    </row>
    <row r="631" customFormat="false" ht="14.25" hidden="false" customHeight="false" outlineLevel="0" collapsed="false">
      <c r="H631" s="91" t="e">
        <f aca="false">INDEX(Companies,MATCH(G631,StationIDs,0),1)</f>
        <v>#N/A</v>
      </c>
    </row>
    <row r="632" customFormat="false" ht="14.25" hidden="false" customHeight="false" outlineLevel="0" collapsed="false">
      <c r="H632" s="91" t="e">
        <f aca="false">INDEX(Companies,MATCH(G632,StationIDs,0),1)</f>
        <v>#N/A</v>
      </c>
    </row>
    <row r="633" customFormat="false" ht="14.25" hidden="false" customHeight="false" outlineLevel="0" collapsed="false">
      <c r="H633" s="91" t="e">
        <f aca="false">INDEX(Companies,MATCH(G633,StationIDs,0),1)</f>
        <v>#N/A</v>
      </c>
    </row>
    <row r="634" customFormat="false" ht="14.25" hidden="false" customHeight="false" outlineLevel="0" collapsed="false">
      <c r="H634" s="91" t="e">
        <f aca="false">INDEX(Companies,MATCH(G634,StationIDs,0),1)</f>
        <v>#N/A</v>
      </c>
    </row>
    <row r="635" customFormat="false" ht="14.25" hidden="false" customHeight="false" outlineLevel="0" collapsed="false">
      <c r="H635" s="91" t="e">
        <f aca="false">INDEX(Companies,MATCH(G635,StationIDs,0),1)</f>
        <v>#N/A</v>
      </c>
    </row>
    <row r="636" customFormat="false" ht="14.25" hidden="false" customHeight="false" outlineLevel="0" collapsed="false">
      <c r="H636" s="91" t="e">
        <f aca="false">INDEX(Companies,MATCH(G636,StationIDs,0),1)</f>
        <v>#N/A</v>
      </c>
    </row>
    <row r="637" customFormat="false" ht="14.25" hidden="false" customHeight="false" outlineLevel="0" collapsed="false">
      <c r="H637" s="91" t="e">
        <f aca="false">INDEX(Companies,MATCH(G637,StationIDs,0),1)</f>
        <v>#N/A</v>
      </c>
    </row>
    <row r="638" customFormat="false" ht="14.25" hidden="false" customHeight="false" outlineLevel="0" collapsed="false">
      <c r="H638" s="91" t="e">
        <f aca="false">INDEX(Companies,MATCH(G638,StationIDs,0),1)</f>
        <v>#N/A</v>
      </c>
    </row>
    <row r="639" customFormat="false" ht="14.25" hidden="false" customHeight="false" outlineLevel="0" collapsed="false">
      <c r="H639" s="91" t="e">
        <f aca="false">INDEX(Companies,MATCH(G639,StationIDs,0),1)</f>
        <v>#N/A</v>
      </c>
    </row>
    <row r="640" customFormat="false" ht="14.25" hidden="false" customHeight="false" outlineLevel="0" collapsed="false">
      <c r="H640" s="91" t="e">
        <f aca="false">INDEX(Companies,MATCH(G640,StationIDs,0),1)</f>
        <v>#N/A</v>
      </c>
    </row>
    <row r="641" customFormat="false" ht="14.25" hidden="false" customHeight="false" outlineLevel="0" collapsed="false">
      <c r="H641" s="91" t="e">
        <f aca="false">INDEX(Companies,MATCH(G641,StationIDs,0),1)</f>
        <v>#N/A</v>
      </c>
    </row>
    <row r="642" customFormat="false" ht="14.25" hidden="false" customHeight="false" outlineLevel="0" collapsed="false">
      <c r="H642" s="91" t="e">
        <f aca="false">INDEX(Companies,MATCH(G642,StationIDs,0),1)</f>
        <v>#N/A</v>
      </c>
    </row>
    <row r="643" customFormat="false" ht="14.25" hidden="false" customHeight="false" outlineLevel="0" collapsed="false">
      <c r="H643" s="91" t="e">
        <f aca="false">INDEX(Companies,MATCH(G643,StationIDs,0),1)</f>
        <v>#N/A</v>
      </c>
    </row>
    <row r="644" customFormat="false" ht="14.25" hidden="false" customHeight="false" outlineLevel="0" collapsed="false">
      <c r="H644" s="91" t="e">
        <f aca="false">INDEX(Companies,MATCH(G644,StationIDs,0),1)</f>
        <v>#N/A</v>
      </c>
    </row>
    <row r="645" customFormat="false" ht="14.25" hidden="false" customHeight="false" outlineLevel="0" collapsed="false">
      <c r="H645" s="91" t="e">
        <f aca="false">INDEX(Companies,MATCH(G645,StationIDs,0),1)</f>
        <v>#N/A</v>
      </c>
    </row>
    <row r="646" customFormat="false" ht="14.25" hidden="false" customHeight="false" outlineLevel="0" collapsed="false">
      <c r="H646" s="91" t="e">
        <f aca="false">INDEX(Companies,MATCH(G646,StationIDs,0),1)</f>
        <v>#N/A</v>
      </c>
    </row>
    <row r="647" customFormat="false" ht="14.25" hidden="false" customHeight="false" outlineLevel="0" collapsed="false">
      <c r="H647" s="91" t="e">
        <f aca="false">INDEX(Companies,MATCH(G647,StationIDs,0),1)</f>
        <v>#N/A</v>
      </c>
    </row>
    <row r="648" customFormat="false" ht="14.25" hidden="false" customHeight="false" outlineLevel="0" collapsed="false">
      <c r="H648" s="91" t="e">
        <f aca="false">INDEX(Companies,MATCH(G648,StationIDs,0),1)</f>
        <v>#N/A</v>
      </c>
    </row>
    <row r="649" customFormat="false" ht="14.25" hidden="false" customHeight="false" outlineLevel="0" collapsed="false">
      <c r="H649" s="91" t="e">
        <f aca="false">INDEX(Companies,MATCH(G649,StationIDs,0),1)</f>
        <v>#N/A</v>
      </c>
    </row>
    <row r="650" customFormat="false" ht="14.25" hidden="false" customHeight="false" outlineLevel="0" collapsed="false">
      <c r="H650" s="91" t="e">
        <f aca="false">INDEX(Companies,MATCH(G650,StationIDs,0),1)</f>
        <v>#N/A</v>
      </c>
    </row>
    <row r="651" customFormat="false" ht="14.25" hidden="false" customHeight="false" outlineLevel="0" collapsed="false">
      <c r="H651" s="91" t="e">
        <f aca="false">INDEX(Companies,MATCH(G651,StationIDs,0),1)</f>
        <v>#N/A</v>
      </c>
    </row>
    <row r="652" customFormat="false" ht="14.25" hidden="false" customHeight="false" outlineLevel="0" collapsed="false">
      <c r="H652" s="91" t="e">
        <f aca="false">INDEX(Companies,MATCH(G652,StationIDs,0),1)</f>
        <v>#N/A</v>
      </c>
    </row>
    <row r="653" customFormat="false" ht="14.25" hidden="false" customHeight="false" outlineLevel="0" collapsed="false">
      <c r="H653" s="91" t="e">
        <f aca="false">INDEX(Companies,MATCH(G653,StationIDs,0),1)</f>
        <v>#N/A</v>
      </c>
    </row>
    <row r="654" customFormat="false" ht="14.25" hidden="false" customHeight="false" outlineLevel="0" collapsed="false">
      <c r="H654" s="91" t="e">
        <f aca="false">INDEX(Companies,MATCH(G654,StationIDs,0),1)</f>
        <v>#N/A</v>
      </c>
    </row>
    <row r="655" customFormat="false" ht="14.25" hidden="false" customHeight="false" outlineLevel="0" collapsed="false">
      <c r="H655" s="91" t="e">
        <f aca="false">INDEX(Companies,MATCH(G655,StationIDs,0),1)</f>
        <v>#N/A</v>
      </c>
    </row>
    <row r="656" customFormat="false" ht="14.25" hidden="false" customHeight="false" outlineLevel="0" collapsed="false">
      <c r="H656" s="91" t="e">
        <f aca="false">INDEX(Companies,MATCH(G656,StationIDs,0),1)</f>
        <v>#N/A</v>
      </c>
    </row>
    <row r="657" customFormat="false" ht="14.25" hidden="false" customHeight="false" outlineLevel="0" collapsed="false">
      <c r="H657" s="91" t="e">
        <f aca="false">INDEX(Companies,MATCH(G657,StationIDs,0),1)</f>
        <v>#N/A</v>
      </c>
    </row>
    <row r="658" customFormat="false" ht="14.25" hidden="false" customHeight="false" outlineLevel="0" collapsed="false">
      <c r="H658" s="91" t="e">
        <f aca="false">INDEX(Companies,MATCH(G658,StationIDs,0),1)</f>
        <v>#N/A</v>
      </c>
    </row>
    <row r="659" customFormat="false" ht="14.25" hidden="false" customHeight="false" outlineLevel="0" collapsed="false">
      <c r="H659" s="91" t="e">
        <f aca="false">INDEX(Companies,MATCH(G659,StationIDs,0),1)</f>
        <v>#N/A</v>
      </c>
    </row>
    <row r="660" customFormat="false" ht="14.25" hidden="false" customHeight="false" outlineLevel="0" collapsed="false">
      <c r="H660" s="91" t="e">
        <f aca="false">INDEX(Companies,MATCH(G660,StationIDs,0),1)</f>
        <v>#N/A</v>
      </c>
    </row>
    <row r="661" customFormat="false" ht="14.25" hidden="false" customHeight="false" outlineLevel="0" collapsed="false">
      <c r="H661" s="91" t="e">
        <f aca="false">INDEX(Companies,MATCH(G661,StationIDs,0),1)</f>
        <v>#N/A</v>
      </c>
    </row>
    <row r="662" customFormat="false" ht="14.25" hidden="false" customHeight="false" outlineLevel="0" collapsed="false">
      <c r="H662" s="91" t="e">
        <f aca="false">INDEX(Companies,MATCH(G662,StationIDs,0),1)</f>
        <v>#N/A</v>
      </c>
    </row>
    <row r="663" customFormat="false" ht="14.25" hidden="false" customHeight="false" outlineLevel="0" collapsed="false">
      <c r="H663" s="91" t="e">
        <f aca="false">INDEX(Companies,MATCH(G663,StationIDs,0),1)</f>
        <v>#N/A</v>
      </c>
    </row>
    <row r="664" customFormat="false" ht="14.25" hidden="false" customHeight="false" outlineLevel="0" collapsed="false">
      <c r="H664" s="91" t="e">
        <f aca="false">INDEX(Companies,MATCH(G664,StationIDs,0),1)</f>
        <v>#N/A</v>
      </c>
    </row>
    <row r="665" customFormat="false" ht="14.25" hidden="false" customHeight="false" outlineLevel="0" collapsed="false">
      <c r="H665" s="91" t="e">
        <f aca="false">INDEX(Companies,MATCH(G665,StationIDs,0),1)</f>
        <v>#N/A</v>
      </c>
    </row>
    <row r="666" customFormat="false" ht="14.25" hidden="false" customHeight="false" outlineLevel="0" collapsed="false">
      <c r="H666" s="91" t="e">
        <f aca="false">INDEX(Companies,MATCH(G666,StationIDs,0),1)</f>
        <v>#N/A</v>
      </c>
    </row>
    <row r="667" customFormat="false" ht="14.25" hidden="false" customHeight="false" outlineLevel="0" collapsed="false">
      <c r="H667" s="91" t="e">
        <f aca="false">INDEX(Companies,MATCH(G667,StationIDs,0),1)</f>
        <v>#N/A</v>
      </c>
    </row>
    <row r="668" customFormat="false" ht="14.25" hidden="false" customHeight="false" outlineLevel="0" collapsed="false">
      <c r="H668" s="91" t="e">
        <f aca="false">INDEX(Companies,MATCH(G668,StationIDs,0),1)</f>
        <v>#N/A</v>
      </c>
    </row>
    <row r="669" customFormat="false" ht="14.25" hidden="false" customHeight="false" outlineLevel="0" collapsed="false">
      <c r="H669" s="91" t="e">
        <f aca="false">INDEX(Companies,MATCH(G669,StationIDs,0),1)</f>
        <v>#N/A</v>
      </c>
    </row>
    <row r="670" customFormat="false" ht="14.25" hidden="false" customHeight="false" outlineLevel="0" collapsed="false">
      <c r="H670" s="91" t="e">
        <f aca="false">INDEX(Companies,MATCH(G670,StationIDs,0),1)</f>
        <v>#N/A</v>
      </c>
    </row>
    <row r="671" customFormat="false" ht="14.25" hidden="false" customHeight="false" outlineLevel="0" collapsed="false">
      <c r="H671" s="91" t="e">
        <f aca="false">INDEX(Companies,MATCH(G671,StationIDs,0),1)</f>
        <v>#N/A</v>
      </c>
    </row>
    <row r="672" customFormat="false" ht="14.25" hidden="false" customHeight="false" outlineLevel="0" collapsed="false">
      <c r="H672" s="91" t="e">
        <f aca="false">INDEX(Companies,MATCH(G672,StationIDs,0),1)</f>
        <v>#N/A</v>
      </c>
    </row>
    <row r="673" customFormat="false" ht="14.25" hidden="false" customHeight="false" outlineLevel="0" collapsed="false">
      <c r="H673" s="91" t="e">
        <f aca="false">INDEX(Companies,MATCH(G673,StationIDs,0),1)</f>
        <v>#N/A</v>
      </c>
    </row>
    <row r="674" customFormat="false" ht="14.25" hidden="false" customHeight="false" outlineLevel="0" collapsed="false">
      <c r="H674" s="91" t="e">
        <f aca="false">INDEX(Companies,MATCH(G674,StationIDs,0),1)</f>
        <v>#N/A</v>
      </c>
    </row>
    <row r="675" customFormat="false" ht="14.25" hidden="false" customHeight="false" outlineLevel="0" collapsed="false">
      <c r="H675" s="91" t="e">
        <f aca="false">INDEX(Companies,MATCH(G675,StationIDs,0),1)</f>
        <v>#N/A</v>
      </c>
    </row>
    <row r="676" customFormat="false" ht="14.25" hidden="false" customHeight="false" outlineLevel="0" collapsed="false">
      <c r="H676" s="91" t="e">
        <f aca="false">INDEX(Companies,MATCH(G676,StationIDs,0),1)</f>
        <v>#N/A</v>
      </c>
    </row>
    <row r="677" customFormat="false" ht="14.25" hidden="false" customHeight="false" outlineLevel="0" collapsed="false">
      <c r="H677" s="91" t="e">
        <f aca="false">INDEX(Companies,MATCH(G677,StationIDs,0),1)</f>
        <v>#N/A</v>
      </c>
    </row>
    <row r="678" customFormat="false" ht="14.25" hidden="false" customHeight="false" outlineLevel="0" collapsed="false">
      <c r="H678" s="91" t="e">
        <f aca="false">INDEX(Companies,MATCH(G678,StationIDs,0),1)</f>
        <v>#N/A</v>
      </c>
    </row>
    <row r="679" customFormat="false" ht="14.25" hidden="false" customHeight="false" outlineLevel="0" collapsed="false">
      <c r="H679" s="91" t="e">
        <f aca="false">INDEX(Companies,MATCH(G679,StationIDs,0),1)</f>
        <v>#N/A</v>
      </c>
    </row>
    <row r="680" customFormat="false" ht="14.25" hidden="false" customHeight="false" outlineLevel="0" collapsed="false">
      <c r="H680" s="91" t="e">
        <f aca="false">INDEX(Companies,MATCH(G680,StationIDs,0),1)</f>
        <v>#N/A</v>
      </c>
    </row>
    <row r="681" customFormat="false" ht="14.25" hidden="false" customHeight="false" outlineLevel="0" collapsed="false">
      <c r="H681" s="91" t="e">
        <f aca="false">INDEX(Companies,MATCH(G681,StationIDs,0),1)</f>
        <v>#N/A</v>
      </c>
    </row>
    <row r="682" customFormat="false" ht="14.25" hidden="false" customHeight="false" outlineLevel="0" collapsed="false">
      <c r="H682" s="91" t="e">
        <f aca="false">INDEX(Companies,MATCH(G682,StationIDs,0),1)</f>
        <v>#N/A</v>
      </c>
    </row>
    <row r="683" customFormat="false" ht="14.25" hidden="false" customHeight="false" outlineLevel="0" collapsed="false">
      <c r="H683" s="91" t="e">
        <f aca="false">INDEX(Companies,MATCH(G683,StationIDs,0),1)</f>
        <v>#N/A</v>
      </c>
    </row>
    <row r="684" customFormat="false" ht="14.25" hidden="false" customHeight="false" outlineLevel="0" collapsed="false">
      <c r="H684" s="91" t="e">
        <f aca="false">INDEX(Companies,MATCH(G684,StationIDs,0),1)</f>
        <v>#N/A</v>
      </c>
    </row>
    <row r="685" customFormat="false" ht="14.25" hidden="false" customHeight="false" outlineLevel="0" collapsed="false">
      <c r="H685" s="91" t="e">
        <f aca="false">INDEX(Companies,MATCH(G685,StationIDs,0),1)</f>
        <v>#N/A</v>
      </c>
    </row>
    <row r="686" customFormat="false" ht="14.25" hidden="false" customHeight="false" outlineLevel="0" collapsed="false">
      <c r="H686" s="91" t="e">
        <f aca="false">INDEX(Companies,MATCH(G686,StationIDs,0),1)</f>
        <v>#N/A</v>
      </c>
    </row>
    <row r="687" customFormat="false" ht="14.25" hidden="false" customHeight="false" outlineLevel="0" collapsed="false">
      <c r="H687" s="91" t="e">
        <f aca="false">INDEX(Companies,MATCH(G687,StationIDs,0),1)</f>
        <v>#N/A</v>
      </c>
    </row>
    <row r="688" customFormat="false" ht="14.25" hidden="false" customHeight="false" outlineLevel="0" collapsed="false">
      <c r="H688" s="91" t="e">
        <f aca="false">INDEX(Companies,MATCH(G688,StationIDs,0),1)</f>
        <v>#N/A</v>
      </c>
    </row>
    <row r="689" customFormat="false" ht="14.25" hidden="false" customHeight="false" outlineLevel="0" collapsed="false">
      <c r="H689" s="91" t="e">
        <f aca="false">INDEX(Companies,MATCH(G689,StationIDs,0),1)</f>
        <v>#N/A</v>
      </c>
    </row>
    <row r="690" customFormat="false" ht="14.25" hidden="false" customHeight="false" outlineLevel="0" collapsed="false">
      <c r="H690" s="91" t="e">
        <f aca="false">INDEX(Companies,MATCH(G690,StationIDs,0),1)</f>
        <v>#N/A</v>
      </c>
    </row>
    <row r="691" customFormat="false" ht="14.25" hidden="false" customHeight="false" outlineLevel="0" collapsed="false">
      <c r="H691" s="91" t="e">
        <f aca="false">INDEX(Companies,MATCH(G691,StationIDs,0),1)</f>
        <v>#N/A</v>
      </c>
    </row>
    <row r="692" customFormat="false" ht="14.25" hidden="false" customHeight="false" outlineLevel="0" collapsed="false">
      <c r="H692" s="91" t="e">
        <f aca="false">INDEX(Companies,MATCH(G692,StationIDs,0),1)</f>
        <v>#N/A</v>
      </c>
    </row>
    <row r="693" customFormat="false" ht="14.25" hidden="false" customHeight="false" outlineLevel="0" collapsed="false">
      <c r="H693" s="91" t="e">
        <f aca="false">INDEX(Companies,MATCH(G693,StationIDs,0),1)</f>
        <v>#N/A</v>
      </c>
    </row>
    <row r="694" customFormat="false" ht="14.25" hidden="false" customHeight="false" outlineLevel="0" collapsed="false">
      <c r="H694" s="91" t="e">
        <f aca="false">INDEX(Companies,MATCH(G694,StationIDs,0),1)</f>
        <v>#N/A</v>
      </c>
    </row>
    <row r="695" customFormat="false" ht="14.25" hidden="false" customHeight="false" outlineLevel="0" collapsed="false">
      <c r="H695" s="91" t="e">
        <f aca="false">INDEX(Companies,MATCH(G695,StationIDs,0),1)</f>
        <v>#N/A</v>
      </c>
    </row>
    <row r="696" customFormat="false" ht="14.25" hidden="false" customHeight="false" outlineLevel="0" collapsed="false">
      <c r="H696" s="91" t="e">
        <f aca="false">INDEX(Companies,MATCH(G696,StationIDs,0),1)</f>
        <v>#N/A</v>
      </c>
    </row>
    <row r="697" customFormat="false" ht="14.25" hidden="false" customHeight="false" outlineLevel="0" collapsed="false">
      <c r="H697" s="91" t="e">
        <f aca="false">INDEX(Companies,MATCH(G697,StationIDs,0),1)</f>
        <v>#N/A</v>
      </c>
    </row>
    <row r="698" customFormat="false" ht="14.25" hidden="false" customHeight="false" outlineLevel="0" collapsed="false">
      <c r="H698" s="91" t="e">
        <f aca="false">INDEX(Companies,MATCH(G698,StationIDs,0),1)</f>
        <v>#N/A</v>
      </c>
    </row>
    <row r="699" customFormat="false" ht="14.25" hidden="false" customHeight="false" outlineLevel="0" collapsed="false">
      <c r="H699" s="91" t="e">
        <f aca="false">INDEX(Companies,MATCH(G699,StationIDs,0),1)</f>
        <v>#N/A</v>
      </c>
    </row>
    <row r="700" customFormat="false" ht="14.25" hidden="false" customHeight="false" outlineLevel="0" collapsed="false">
      <c r="H700" s="91" t="e">
        <f aca="false">INDEX(Companies,MATCH(G700,StationIDs,0),1)</f>
        <v>#N/A</v>
      </c>
    </row>
    <row r="701" customFormat="false" ht="14.25" hidden="false" customHeight="false" outlineLevel="0" collapsed="false">
      <c r="H701" s="91" t="e">
        <f aca="false">INDEX(Companies,MATCH(G701,StationIDs,0),1)</f>
        <v>#N/A</v>
      </c>
    </row>
    <row r="702" customFormat="false" ht="14.25" hidden="false" customHeight="false" outlineLevel="0" collapsed="false">
      <c r="H702" s="91" t="e">
        <f aca="false">INDEX(Companies,MATCH(G702,StationIDs,0),1)</f>
        <v>#N/A</v>
      </c>
    </row>
    <row r="703" customFormat="false" ht="14.25" hidden="false" customHeight="false" outlineLevel="0" collapsed="false">
      <c r="H703" s="91" t="e">
        <f aca="false">INDEX(Companies,MATCH(G703,StationIDs,0),1)</f>
        <v>#N/A</v>
      </c>
    </row>
    <row r="704" customFormat="false" ht="14.25" hidden="false" customHeight="false" outlineLevel="0" collapsed="false">
      <c r="H704" s="91" t="e">
        <f aca="false">INDEX(Companies,MATCH(G704,StationIDs,0),1)</f>
        <v>#N/A</v>
      </c>
    </row>
    <row r="705" customFormat="false" ht="14.25" hidden="false" customHeight="false" outlineLevel="0" collapsed="false">
      <c r="H705" s="91" t="e">
        <f aca="false">INDEX(Companies,MATCH(G705,StationIDs,0),1)</f>
        <v>#N/A</v>
      </c>
    </row>
    <row r="706" customFormat="false" ht="14.25" hidden="false" customHeight="false" outlineLevel="0" collapsed="false">
      <c r="H706" s="91" t="e">
        <f aca="false">INDEX(Companies,MATCH(G706,StationIDs,0),1)</f>
        <v>#N/A</v>
      </c>
    </row>
    <row r="707" customFormat="false" ht="14.25" hidden="false" customHeight="false" outlineLevel="0" collapsed="false">
      <c r="H707" s="91" t="e">
        <f aca="false">INDEX(Companies,MATCH(G707,StationIDs,0),1)</f>
        <v>#N/A</v>
      </c>
    </row>
    <row r="708" customFormat="false" ht="14.25" hidden="false" customHeight="false" outlineLevel="0" collapsed="false">
      <c r="H708" s="91" t="e">
        <f aca="false">INDEX(Companies,MATCH(G708,StationIDs,0),1)</f>
        <v>#N/A</v>
      </c>
    </row>
    <row r="709" customFormat="false" ht="14.25" hidden="false" customHeight="false" outlineLevel="0" collapsed="false">
      <c r="H709" s="91" t="e">
        <f aca="false">INDEX(Companies,MATCH(G709,StationIDs,0),1)</f>
        <v>#N/A</v>
      </c>
    </row>
    <row r="710" customFormat="false" ht="14.25" hidden="false" customHeight="false" outlineLevel="0" collapsed="false">
      <c r="H710" s="91" t="e">
        <f aca="false">INDEX(Companies,MATCH(G710,StationIDs,0),1)</f>
        <v>#N/A</v>
      </c>
    </row>
    <row r="711" customFormat="false" ht="14.25" hidden="false" customHeight="false" outlineLevel="0" collapsed="false">
      <c r="H711" s="91" t="e">
        <f aca="false">INDEX(Companies,MATCH(G711,StationIDs,0),1)</f>
        <v>#N/A</v>
      </c>
    </row>
    <row r="712" customFormat="false" ht="14.25" hidden="false" customHeight="false" outlineLevel="0" collapsed="false">
      <c r="H712" s="91" t="e">
        <f aca="false">INDEX(Companies,MATCH(G712,StationIDs,0),1)</f>
        <v>#N/A</v>
      </c>
    </row>
    <row r="713" customFormat="false" ht="14.25" hidden="false" customHeight="false" outlineLevel="0" collapsed="false">
      <c r="H713" s="91" t="e">
        <f aca="false">INDEX(Companies,MATCH(G713,StationIDs,0),1)</f>
        <v>#N/A</v>
      </c>
    </row>
    <row r="714" customFormat="false" ht="14.25" hidden="false" customHeight="false" outlineLevel="0" collapsed="false">
      <c r="H714" s="91" t="e">
        <f aca="false">INDEX(Companies,MATCH(G714,StationIDs,0),1)</f>
        <v>#N/A</v>
      </c>
    </row>
    <row r="715" customFormat="false" ht="14.25" hidden="false" customHeight="false" outlineLevel="0" collapsed="false">
      <c r="H715" s="91" t="e">
        <f aca="false">INDEX(Companies,MATCH(G715,StationIDs,0),1)</f>
        <v>#N/A</v>
      </c>
    </row>
    <row r="716" customFormat="false" ht="14.25" hidden="false" customHeight="false" outlineLevel="0" collapsed="false">
      <c r="H716" s="91" t="e">
        <f aca="false">INDEX(Companies,MATCH(G716,StationIDs,0),1)</f>
        <v>#N/A</v>
      </c>
    </row>
    <row r="717" customFormat="false" ht="14.25" hidden="false" customHeight="false" outlineLevel="0" collapsed="false">
      <c r="H717" s="91" t="e">
        <f aca="false">INDEX(Companies,MATCH(G717,StationIDs,0),1)</f>
        <v>#N/A</v>
      </c>
    </row>
    <row r="718" customFormat="false" ht="14.25" hidden="false" customHeight="false" outlineLevel="0" collapsed="false">
      <c r="H718" s="91" t="e">
        <f aca="false">INDEX(Companies,MATCH(G718,StationIDs,0),1)</f>
        <v>#N/A</v>
      </c>
    </row>
    <row r="719" customFormat="false" ht="14.25" hidden="false" customHeight="false" outlineLevel="0" collapsed="false">
      <c r="H719" s="91" t="e">
        <f aca="false">INDEX(Companies,MATCH(G719,StationIDs,0),1)</f>
        <v>#N/A</v>
      </c>
    </row>
    <row r="720" customFormat="false" ht="14.25" hidden="false" customHeight="false" outlineLevel="0" collapsed="false">
      <c r="H720" s="91" t="e">
        <f aca="false">INDEX(Companies,MATCH(G720,StationIDs,0),1)</f>
        <v>#N/A</v>
      </c>
    </row>
    <row r="721" customFormat="false" ht="14.25" hidden="false" customHeight="false" outlineLevel="0" collapsed="false">
      <c r="H721" s="91" t="e">
        <f aca="false">INDEX(Companies,MATCH(G721,StationIDs,0),1)</f>
        <v>#N/A</v>
      </c>
    </row>
    <row r="722" customFormat="false" ht="14.25" hidden="false" customHeight="false" outlineLevel="0" collapsed="false">
      <c r="H722" s="91" t="e">
        <f aca="false">INDEX(Companies,MATCH(G722,StationIDs,0),1)</f>
        <v>#N/A</v>
      </c>
    </row>
    <row r="723" customFormat="false" ht="14.25" hidden="false" customHeight="false" outlineLevel="0" collapsed="false">
      <c r="H723" s="91" t="e">
        <f aca="false">INDEX(Companies,MATCH(G723,StationIDs,0),1)</f>
        <v>#N/A</v>
      </c>
    </row>
    <row r="724" customFormat="false" ht="14.25" hidden="false" customHeight="false" outlineLevel="0" collapsed="false">
      <c r="H724" s="91" t="e">
        <f aca="false">INDEX(Companies,MATCH(G724,StationIDs,0),1)</f>
        <v>#N/A</v>
      </c>
    </row>
    <row r="725" customFormat="false" ht="14.25" hidden="false" customHeight="false" outlineLevel="0" collapsed="false">
      <c r="H725" s="91" t="e">
        <f aca="false">INDEX(Companies,MATCH(G725,StationIDs,0),1)</f>
        <v>#N/A</v>
      </c>
    </row>
    <row r="726" customFormat="false" ht="14.25" hidden="false" customHeight="false" outlineLevel="0" collapsed="false">
      <c r="H726" s="91" t="e">
        <f aca="false">INDEX(Companies,MATCH(G726,StationIDs,0),1)</f>
        <v>#N/A</v>
      </c>
    </row>
    <row r="727" customFormat="false" ht="14.25" hidden="false" customHeight="false" outlineLevel="0" collapsed="false">
      <c r="H727" s="91" t="e">
        <f aca="false">INDEX(Companies,MATCH(G727,StationIDs,0),1)</f>
        <v>#N/A</v>
      </c>
    </row>
    <row r="728" customFormat="false" ht="14.25" hidden="false" customHeight="false" outlineLevel="0" collapsed="false">
      <c r="H728" s="91" t="e">
        <f aca="false">INDEX(Companies,MATCH(G728,StationIDs,0),1)</f>
        <v>#N/A</v>
      </c>
    </row>
    <row r="729" customFormat="false" ht="14.25" hidden="false" customHeight="false" outlineLevel="0" collapsed="false">
      <c r="H729" s="91" t="e">
        <f aca="false">INDEX(Companies,MATCH(G729,StationIDs,0),1)</f>
        <v>#N/A</v>
      </c>
    </row>
    <row r="730" customFormat="false" ht="14.25" hidden="false" customHeight="false" outlineLevel="0" collapsed="false">
      <c r="H730" s="91" t="e">
        <f aca="false">INDEX(Companies,MATCH(G730,StationIDs,0),1)</f>
        <v>#N/A</v>
      </c>
    </row>
    <row r="731" customFormat="false" ht="14.25" hidden="false" customHeight="false" outlineLevel="0" collapsed="false">
      <c r="H731" s="91" t="e">
        <f aca="false">INDEX(Companies,MATCH(G731,StationIDs,0),1)</f>
        <v>#N/A</v>
      </c>
    </row>
    <row r="732" customFormat="false" ht="14.25" hidden="false" customHeight="false" outlineLevel="0" collapsed="false">
      <c r="H732" s="91" t="e">
        <f aca="false">INDEX(Companies,MATCH(G732,StationIDs,0),1)</f>
        <v>#N/A</v>
      </c>
    </row>
    <row r="733" customFormat="false" ht="14.25" hidden="false" customHeight="false" outlineLevel="0" collapsed="false">
      <c r="H733" s="91" t="e">
        <f aca="false">INDEX(Companies,MATCH(G733,StationIDs,0),1)</f>
        <v>#N/A</v>
      </c>
    </row>
    <row r="734" customFormat="false" ht="14.25" hidden="false" customHeight="false" outlineLevel="0" collapsed="false">
      <c r="H734" s="91" t="e">
        <f aca="false">INDEX(Companies,MATCH(G734,StationIDs,0),1)</f>
        <v>#N/A</v>
      </c>
    </row>
    <row r="735" customFormat="false" ht="14.25" hidden="false" customHeight="false" outlineLevel="0" collapsed="false">
      <c r="H735" s="91" t="e">
        <f aca="false">INDEX(Companies,MATCH(G735,StationIDs,0),1)</f>
        <v>#N/A</v>
      </c>
    </row>
    <row r="736" customFormat="false" ht="14.25" hidden="false" customHeight="false" outlineLevel="0" collapsed="false">
      <c r="H736" s="91" t="e">
        <f aca="false">INDEX(Companies,MATCH(G736,StationIDs,0),1)</f>
        <v>#N/A</v>
      </c>
    </row>
    <row r="737" customFormat="false" ht="14.25" hidden="false" customHeight="false" outlineLevel="0" collapsed="false">
      <c r="H737" s="91" t="e">
        <f aca="false">INDEX(Companies,MATCH(G737,StationIDs,0),1)</f>
        <v>#N/A</v>
      </c>
    </row>
    <row r="738" customFormat="false" ht="14.25" hidden="false" customHeight="false" outlineLevel="0" collapsed="false">
      <c r="H738" s="91" t="e">
        <f aca="false">INDEX(Companies,MATCH(G738,StationIDs,0),1)</f>
        <v>#N/A</v>
      </c>
    </row>
    <row r="739" customFormat="false" ht="14.25" hidden="false" customHeight="false" outlineLevel="0" collapsed="false">
      <c r="H739" s="91" t="e">
        <f aca="false">INDEX(Companies,MATCH(G739,StationIDs,0),1)</f>
        <v>#N/A</v>
      </c>
    </row>
    <row r="740" customFormat="false" ht="14.25" hidden="false" customHeight="false" outlineLevel="0" collapsed="false">
      <c r="H740" s="91" t="e">
        <f aca="false">INDEX(Companies,MATCH(G740,StationIDs,0),1)</f>
        <v>#N/A</v>
      </c>
    </row>
    <row r="741" customFormat="false" ht="14.25" hidden="false" customHeight="false" outlineLevel="0" collapsed="false">
      <c r="H741" s="91" t="e">
        <f aca="false">INDEX(Companies,MATCH(G741,StationIDs,0),1)</f>
        <v>#N/A</v>
      </c>
    </row>
    <row r="742" customFormat="false" ht="14.25" hidden="false" customHeight="false" outlineLevel="0" collapsed="false">
      <c r="H742" s="91" t="e">
        <f aca="false">INDEX(Companies,MATCH(G742,StationIDs,0),1)</f>
        <v>#N/A</v>
      </c>
    </row>
    <row r="743" customFormat="false" ht="14.25" hidden="false" customHeight="false" outlineLevel="0" collapsed="false">
      <c r="H743" s="91" t="e">
        <f aca="false">INDEX(Companies,MATCH(G743,StationIDs,0),1)</f>
        <v>#N/A</v>
      </c>
    </row>
    <row r="744" customFormat="false" ht="14.25" hidden="false" customHeight="false" outlineLevel="0" collapsed="false">
      <c r="H744" s="91" t="e">
        <f aca="false">INDEX(Companies,MATCH(G744,StationIDs,0),1)</f>
        <v>#N/A</v>
      </c>
    </row>
    <row r="745" customFormat="false" ht="14.25" hidden="false" customHeight="false" outlineLevel="0" collapsed="false">
      <c r="H745" s="91" t="e">
        <f aca="false">INDEX(Companies,MATCH(G745,StationIDs,0),1)</f>
        <v>#N/A</v>
      </c>
    </row>
    <row r="746" customFormat="false" ht="14.25" hidden="false" customHeight="false" outlineLevel="0" collapsed="false">
      <c r="H746" s="91" t="e">
        <f aca="false">INDEX(Companies,MATCH(G746,StationIDs,0),1)</f>
        <v>#N/A</v>
      </c>
    </row>
    <row r="747" customFormat="false" ht="14.25" hidden="false" customHeight="false" outlineLevel="0" collapsed="false">
      <c r="H747" s="91" t="e">
        <f aca="false">INDEX(Companies,MATCH(G747,StationIDs,0),1)</f>
        <v>#N/A</v>
      </c>
    </row>
    <row r="748" customFormat="false" ht="14.25" hidden="false" customHeight="false" outlineLevel="0" collapsed="false">
      <c r="H748" s="91" t="e">
        <f aca="false">INDEX(Companies,MATCH(G748,StationIDs,0),1)</f>
        <v>#N/A</v>
      </c>
    </row>
    <row r="749" customFormat="false" ht="14.25" hidden="false" customHeight="false" outlineLevel="0" collapsed="false">
      <c r="H749" s="91" t="e">
        <f aca="false">INDEX(Companies,MATCH(G749,StationIDs,0),1)</f>
        <v>#N/A</v>
      </c>
    </row>
    <row r="750" customFormat="false" ht="14.25" hidden="false" customHeight="false" outlineLevel="0" collapsed="false">
      <c r="H750" s="91" t="e">
        <f aca="false">INDEX(Companies,MATCH(G750,StationIDs,0),1)</f>
        <v>#N/A</v>
      </c>
    </row>
    <row r="751" customFormat="false" ht="14.25" hidden="false" customHeight="false" outlineLevel="0" collapsed="false">
      <c r="H751" s="91" t="e">
        <f aca="false">INDEX(Companies,MATCH(G751,StationIDs,0),1)</f>
        <v>#N/A</v>
      </c>
    </row>
    <row r="752" customFormat="false" ht="14.25" hidden="false" customHeight="false" outlineLevel="0" collapsed="false">
      <c r="H752" s="91" t="e">
        <f aca="false">INDEX(Companies,MATCH(G752,StationIDs,0),1)</f>
        <v>#N/A</v>
      </c>
    </row>
    <row r="753" customFormat="false" ht="14.25" hidden="false" customHeight="false" outlineLevel="0" collapsed="false">
      <c r="H753" s="91" t="e">
        <f aca="false">INDEX(Companies,MATCH(G753,StationIDs,0),1)</f>
        <v>#N/A</v>
      </c>
    </row>
    <row r="754" customFormat="false" ht="14.25" hidden="false" customHeight="false" outlineLevel="0" collapsed="false">
      <c r="H754" s="91" t="e">
        <f aca="false">INDEX(Companies,MATCH(G754,StationIDs,0),1)</f>
        <v>#N/A</v>
      </c>
    </row>
    <row r="755" customFormat="false" ht="14.25" hidden="false" customHeight="false" outlineLevel="0" collapsed="false">
      <c r="H755" s="91" t="e">
        <f aca="false">INDEX(Companies,MATCH(G755,StationIDs,0),1)</f>
        <v>#N/A</v>
      </c>
    </row>
    <row r="756" customFormat="false" ht="14.25" hidden="false" customHeight="false" outlineLevel="0" collapsed="false">
      <c r="H756" s="91" t="e">
        <f aca="false">INDEX(Companies,MATCH(G756,StationIDs,0),1)</f>
        <v>#N/A</v>
      </c>
    </row>
    <row r="757" customFormat="false" ht="14.25" hidden="false" customHeight="false" outlineLevel="0" collapsed="false">
      <c r="H757" s="91" t="e">
        <f aca="false">INDEX(Companies,MATCH(G757,StationIDs,0),1)</f>
        <v>#N/A</v>
      </c>
    </row>
    <row r="758" customFormat="false" ht="14.25" hidden="false" customHeight="false" outlineLevel="0" collapsed="false">
      <c r="H758" s="91" t="e">
        <f aca="false">INDEX(Companies,MATCH(G758,StationIDs,0),1)</f>
        <v>#N/A</v>
      </c>
    </row>
    <row r="759" customFormat="false" ht="14.25" hidden="false" customHeight="false" outlineLevel="0" collapsed="false">
      <c r="H759" s="91" t="e">
        <f aca="false">INDEX(Companies,MATCH(G759,StationIDs,0),1)</f>
        <v>#N/A</v>
      </c>
    </row>
    <row r="760" customFormat="false" ht="14.25" hidden="false" customHeight="false" outlineLevel="0" collapsed="false">
      <c r="H760" s="91" t="e">
        <f aca="false">INDEX(Companies,MATCH(G760,StationIDs,0),1)</f>
        <v>#N/A</v>
      </c>
    </row>
    <row r="761" customFormat="false" ht="14.25" hidden="false" customHeight="false" outlineLevel="0" collapsed="false">
      <c r="H761" s="91" t="e">
        <f aca="false">INDEX(Companies,MATCH(G761,StationIDs,0),1)</f>
        <v>#N/A</v>
      </c>
    </row>
    <row r="762" customFormat="false" ht="14.25" hidden="false" customHeight="false" outlineLevel="0" collapsed="false">
      <c r="H762" s="91" t="e">
        <f aca="false">INDEX(Companies,MATCH(G762,StationIDs,0),1)</f>
        <v>#N/A</v>
      </c>
    </row>
    <row r="763" customFormat="false" ht="14.25" hidden="false" customHeight="false" outlineLevel="0" collapsed="false">
      <c r="H763" s="91" t="e">
        <f aca="false">INDEX(Companies,MATCH(G763,StationIDs,0),1)</f>
        <v>#N/A</v>
      </c>
    </row>
    <row r="764" customFormat="false" ht="14.25" hidden="false" customHeight="false" outlineLevel="0" collapsed="false">
      <c r="H764" s="91" t="e">
        <f aca="false">INDEX(Companies,MATCH(G764,StationIDs,0),1)</f>
        <v>#N/A</v>
      </c>
    </row>
    <row r="765" customFormat="false" ht="14.25" hidden="false" customHeight="false" outlineLevel="0" collapsed="false">
      <c r="H765" s="91" t="e">
        <f aca="false">INDEX(Companies,MATCH(G765,StationIDs,0),1)</f>
        <v>#N/A</v>
      </c>
    </row>
    <row r="766" customFormat="false" ht="14.25" hidden="false" customHeight="false" outlineLevel="0" collapsed="false">
      <c r="H766" s="91" t="e">
        <f aca="false">INDEX(Companies,MATCH(G766,StationIDs,0),1)</f>
        <v>#N/A</v>
      </c>
    </row>
    <row r="767" customFormat="false" ht="14.25" hidden="false" customHeight="false" outlineLevel="0" collapsed="false">
      <c r="H767" s="91" t="e">
        <f aca="false">INDEX(Companies,MATCH(G767,StationIDs,0),1)</f>
        <v>#N/A</v>
      </c>
    </row>
    <row r="768" customFormat="false" ht="14.25" hidden="false" customHeight="false" outlineLevel="0" collapsed="false">
      <c r="H768" s="91" t="e">
        <f aca="false">INDEX(Companies,MATCH(G768,StationIDs,0),1)</f>
        <v>#N/A</v>
      </c>
    </row>
    <row r="769" customFormat="false" ht="14.25" hidden="false" customHeight="false" outlineLevel="0" collapsed="false">
      <c r="H769" s="91" t="e">
        <f aca="false">INDEX(Companies,MATCH(G769,StationIDs,0),1)</f>
        <v>#N/A</v>
      </c>
    </row>
    <row r="770" customFormat="false" ht="14.25" hidden="false" customHeight="false" outlineLevel="0" collapsed="false">
      <c r="H770" s="91" t="e">
        <f aca="false">INDEX(Companies,MATCH(G770,StationIDs,0),1)</f>
        <v>#N/A</v>
      </c>
    </row>
    <row r="771" customFormat="false" ht="14.25" hidden="false" customHeight="false" outlineLevel="0" collapsed="false">
      <c r="H771" s="91" t="e">
        <f aca="false">INDEX(Companies,MATCH(G771,StationIDs,0),1)</f>
        <v>#N/A</v>
      </c>
    </row>
    <row r="772" customFormat="false" ht="14.25" hidden="false" customHeight="false" outlineLevel="0" collapsed="false">
      <c r="H772" s="91" t="e">
        <f aca="false">INDEX(Companies,MATCH(G772,StationIDs,0),1)</f>
        <v>#N/A</v>
      </c>
    </row>
    <row r="773" customFormat="false" ht="14.25" hidden="false" customHeight="false" outlineLevel="0" collapsed="false">
      <c r="H773" s="91" t="e">
        <f aca="false">INDEX(Companies,MATCH(G773,StationIDs,0),1)</f>
        <v>#N/A</v>
      </c>
    </row>
    <row r="774" customFormat="false" ht="14.25" hidden="false" customHeight="false" outlineLevel="0" collapsed="false">
      <c r="H774" s="91" t="e">
        <f aca="false">INDEX(Companies,MATCH(G774,StationIDs,0),1)</f>
        <v>#N/A</v>
      </c>
    </row>
    <row r="775" customFormat="false" ht="14.25" hidden="false" customHeight="false" outlineLevel="0" collapsed="false">
      <c r="H775" s="91" t="e">
        <f aca="false">INDEX(Companies,MATCH(G775,StationIDs,0),1)</f>
        <v>#N/A</v>
      </c>
    </row>
    <row r="776" customFormat="false" ht="14.25" hidden="false" customHeight="false" outlineLevel="0" collapsed="false">
      <c r="H776" s="91" t="e">
        <f aca="false">INDEX(Companies,MATCH(G776,StationIDs,0),1)</f>
        <v>#N/A</v>
      </c>
    </row>
    <row r="777" customFormat="false" ht="14.25" hidden="false" customHeight="false" outlineLevel="0" collapsed="false">
      <c r="H777" s="91" t="e">
        <f aca="false">INDEX(Companies,MATCH(G777,StationIDs,0),1)</f>
        <v>#N/A</v>
      </c>
    </row>
    <row r="778" customFormat="false" ht="14.25" hidden="false" customHeight="false" outlineLevel="0" collapsed="false">
      <c r="H778" s="91" t="e">
        <f aca="false">INDEX(Companies,MATCH(G778,StationIDs,0),1)</f>
        <v>#N/A</v>
      </c>
    </row>
    <row r="779" customFormat="false" ht="14.25" hidden="false" customHeight="false" outlineLevel="0" collapsed="false">
      <c r="H779" s="91" t="e">
        <f aca="false">INDEX(Companies,MATCH(G779,StationIDs,0),1)</f>
        <v>#N/A</v>
      </c>
    </row>
    <row r="780" customFormat="false" ht="14.25" hidden="false" customHeight="false" outlineLevel="0" collapsed="false">
      <c r="H780" s="91" t="e">
        <f aca="false">INDEX(Companies,MATCH(G780,StationIDs,0),1)</f>
        <v>#N/A</v>
      </c>
    </row>
    <row r="781" customFormat="false" ht="14.25" hidden="false" customHeight="false" outlineLevel="0" collapsed="false">
      <c r="H781" s="91" t="e">
        <f aca="false">INDEX(Companies,MATCH(G781,StationIDs,0),1)</f>
        <v>#N/A</v>
      </c>
    </row>
    <row r="782" customFormat="false" ht="14.25" hidden="false" customHeight="false" outlineLevel="0" collapsed="false">
      <c r="H782" s="91" t="e">
        <f aca="false">INDEX(Companies,MATCH(G782,StationIDs,0),1)</f>
        <v>#N/A</v>
      </c>
    </row>
    <row r="783" customFormat="false" ht="14.25" hidden="false" customHeight="false" outlineLevel="0" collapsed="false">
      <c r="H783" s="91" t="e">
        <f aca="false">INDEX(Companies,MATCH(G783,StationIDs,0),1)</f>
        <v>#N/A</v>
      </c>
    </row>
    <row r="784" customFormat="false" ht="14.25" hidden="false" customHeight="false" outlineLevel="0" collapsed="false">
      <c r="H784" s="91" t="e">
        <f aca="false">INDEX(Companies,MATCH(G784,StationIDs,0),1)</f>
        <v>#N/A</v>
      </c>
    </row>
    <row r="785" customFormat="false" ht="14.25" hidden="false" customHeight="false" outlineLevel="0" collapsed="false">
      <c r="H785" s="91" t="e">
        <f aca="false">INDEX(Companies,MATCH(G785,StationIDs,0),1)</f>
        <v>#N/A</v>
      </c>
    </row>
    <row r="786" customFormat="false" ht="14.25" hidden="false" customHeight="false" outlineLevel="0" collapsed="false">
      <c r="H786" s="91" t="e">
        <f aca="false">INDEX(Companies,MATCH(G786,StationIDs,0),1)</f>
        <v>#N/A</v>
      </c>
    </row>
    <row r="787" customFormat="false" ht="14.25" hidden="false" customHeight="false" outlineLevel="0" collapsed="false">
      <c r="H787" s="91" t="e">
        <f aca="false">INDEX(Companies,MATCH(G787,StationIDs,0),1)</f>
        <v>#N/A</v>
      </c>
    </row>
    <row r="788" customFormat="false" ht="14.25" hidden="false" customHeight="false" outlineLevel="0" collapsed="false">
      <c r="H788" s="91" t="e">
        <f aca="false">INDEX(Companies,MATCH(G788,StationIDs,0),1)</f>
        <v>#N/A</v>
      </c>
    </row>
    <row r="789" customFormat="false" ht="14.25" hidden="false" customHeight="false" outlineLevel="0" collapsed="false">
      <c r="H789" s="91" t="e">
        <f aca="false">INDEX(Companies,MATCH(G789,StationIDs,0),1)</f>
        <v>#N/A</v>
      </c>
    </row>
    <row r="790" customFormat="false" ht="14.25" hidden="false" customHeight="false" outlineLevel="0" collapsed="false">
      <c r="H790" s="91" t="e">
        <f aca="false">INDEX(Companies,MATCH(G790,StationIDs,0),1)</f>
        <v>#N/A</v>
      </c>
    </row>
    <row r="791" customFormat="false" ht="14.25" hidden="false" customHeight="false" outlineLevel="0" collapsed="false">
      <c r="H791" s="91" t="e">
        <f aca="false">INDEX(Companies,MATCH(G791,StationIDs,0),1)</f>
        <v>#N/A</v>
      </c>
    </row>
    <row r="792" customFormat="false" ht="14.25" hidden="false" customHeight="false" outlineLevel="0" collapsed="false">
      <c r="H792" s="91" t="e">
        <f aca="false">INDEX(Companies,MATCH(G792,StationIDs,0),1)</f>
        <v>#N/A</v>
      </c>
    </row>
    <row r="793" customFormat="false" ht="14.25" hidden="false" customHeight="false" outlineLevel="0" collapsed="false">
      <c r="H793" s="91" t="e">
        <f aca="false">INDEX(Companies,MATCH(G793,StationIDs,0),1)</f>
        <v>#N/A</v>
      </c>
    </row>
    <row r="794" customFormat="false" ht="14.25" hidden="false" customHeight="false" outlineLevel="0" collapsed="false">
      <c r="H794" s="91" t="e">
        <f aca="false">INDEX(Companies,MATCH(G794,StationIDs,0),1)</f>
        <v>#N/A</v>
      </c>
    </row>
    <row r="795" customFormat="false" ht="14.25" hidden="false" customHeight="false" outlineLevel="0" collapsed="false">
      <c r="H795" s="91" t="e">
        <f aca="false">INDEX(Companies,MATCH(G795,StationIDs,0),1)</f>
        <v>#N/A</v>
      </c>
    </row>
    <row r="796" customFormat="false" ht="14.25" hidden="false" customHeight="false" outlineLevel="0" collapsed="false">
      <c r="H796" s="91" t="e">
        <f aca="false">INDEX(Companies,MATCH(G796,StationIDs,0),1)</f>
        <v>#N/A</v>
      </c>
    </row>
    <row r="797" customFormat="false" ht="14.25" hidden="false" customHeight="false" outlineLevel="0" collapsed="false">
      <c r="H797" s="91" t="e">
        <f aca="false">INDEX(Companies,MATCH(G797,StationIDs,0),1)</f>
        <v>#N/A</v>
      </c>
    </row>
    <row r="798" customFormat="false" ht="14.25" hidden="false" customHeight="false" outlineLevel="0" collapsed="false">
      <c r="H798" s="91" t="e">
        <f aca="false">INDEX(Companies,MATCH(G798,StationIDs,0),1)</f>
        <v>#N/A</v>
      </c>
    </row>
    <row r="799" customFormat="false" ht="14.25" hidden="false" customHeight="false" outlineLevel="0" collapsed="false">
      <c r="H799" s="91" t="e">
        <f aca="false">INDEX(Companies,MATCH(G799,StationIDs,0),1)</f>
        <v>#N/A</v>
      </c>
    </row>
    <row r="800" customFormat="false" ht="14.25" hidden="false" customHeight="false" outlineLevel="0" collapsed="false">
      <c r="H800" s="91" t="e">
        <f aca="false">INDEX(Companies,MATCH(G800,StationIDs,0),1)</f>
        <v>#N/A</v>
      </c>
    </row>
    <row r="801" customFormat="false" ht="14.25" hidden="false" customHeight="false" outlineLevel="0" collapsed="false">
      <c r="H801" s="91" t="e">
        <f aca="false">INDEX(Companies,MATCH(G801,StationIDs,0),1)</f>
        <v>#N/A</v>
      </c>
    </row>
    <row r="802" customFormat="false" ht="14.25" hidden="false" customHeight="false" outlineLevel="0" collapsed="false">
      <c r="H802" s="91" t="e">
        <f aca="false">INDEX(Companies,MATCH(G802,StationIDs,0),1)</f>
        <v>#N/A</v>
      </c>
    </row>
    <row r="803" customFormat="false" ht="14.25" hidden="false" customHeight="false" outlineLevel="0" collapsed="false">
      <c r="H803" s="91" t="e">
        <f aca="false">INDEX(Companies,MATCH(G803,StationIDs,0),1)</f>
        <v>#N/A</v>
      </c>
    </row>
    <row r="804" customFormat="false" ht="14.25" hidden="false" customHeight="false" outlineLevel="0" collapsed="false">
      <c r="H804" s="91" t="e">
        <f aca="false">INDEX(Companies,MATCH(G804,StationIDs,0),1)</f>
        <v>#N/A</v>
      </c>
    </row>
    <row r="805" customFormat="false" ht="14.25" hidden="false" customHeight="false" outlineLevel="0" collapsed="false">
      <c r="H805" s="91" t="e">
        <f aca="false">INDEX(Companies,MATCH(G805,StationIDs,0),1)</f>
        <v>#N/A</v>
      </c>
    </row>
    <row r="806" customFormat="false" ht="14.25" hidden="false" customHeight="false" outlineLevel="0" collapsed="false">
      <c r="H806" s="91" t="e">
        <f aca="false">INDEX(Companies,MATCH(G806,StationIDs,0),1)</f>
        <v>#N/A</v>
      </c>
    </row>
    <row r="807" customFormat="false" ht="14.25" hidden="false" customHeight="false" outlineLevel="0" collapsed="false">
      <c r="H807" s="91" t="e">
        <f aca="false">INDEX(Companies,MATCH(G807,StationIDs,0),1)</f>
        <v>#N/A</v>
      </c>
    </row>
    <row r="808" customFormat="false" ht="14.25" hidden="false" customHeight="false" outlineLevel="0" collapsed="false">
      <c r="H808" s="91" t="e">
        <f aca="false">INDEX(Companies,MATCH(G808,StationIDs,0),1)</f>
        <v>#N/A</v>
      </c>
    </row>
    <row r="809" customFormat="false" ht="14.25" hidden="false" customHeight="false" outlineLevel="0" collapsed="false">
      <c r="H809" s="91" t="e">
        <f aca="false">INDEX(Companies,MATCH(G809,StationIDs,0),1)</f>
        <v>#N/A</v>
      </c>
    </row>
    <row r="810" customFormat="false" ht="14.25" hidden="false" customHeight="false" outlineLevel="0" collapsed="false">
      <c r="H810" s="91" t="e">
        <f aca="false">INDEX(Companies,MATCH(G810,StationIDs,0),1)</f>
        <v>#N/A</v>
      </c>
    </row>
    <row r="811" customFormat="false" ht="14.25" hidden="false" customHeight="false" outlineLevel="0" collapsed="false">
      <c r="H811" s="91" t="e">
        <f aca="false">INDEX(Companies,MATCH(G811,StationIDs,0),1)</f>
        <v>#N/A</v>
      </c>
    </row>
    <row r="812" customFormat="false" ht="14.25" hidden="false" customHeight="false" outlineLevel="0" collapsed="false">
      <c r="H812" s="91" t="e">
        <f aca="false">INDEX(Companies,MATCH(G812,StationIDs,0),1)</f>
        <v>#N/A</v>
      </c>
    </row>
    <row r="813" customFormat="false" ht="14.25" hidden="false" customHeight="false" outlineLevel="0" collapsed="false">
      <c r="H813" s="91" t="e">
        <f aca="false">INDEX(Companies,MATCH(G813,StationIDs,0),1)</f>
        <v>#N/A</v>
      </c>
    </row>
    <row r="814" customFormat="false" ht="14.25" hidden="false" customHeight="false" outlineLevel="0" collapsed="false">
      <c r="H814" s="91" t="e">
        <f aca="false">INDEX(Companies,MATCH(G814,StationIDs,0),1)</f>
        <v>#N/A</v>
      </c>
    </row>
    <row r="815" customFormat="false" ht="14.25" hidden="false" customHeight="false" outlineLevel="0" collapsed="false">
      <c r="H815" s="91" t="e">
        <f aca="false">INDEX(Companies,MATCH(G815,StationIDs,0),1)</f>
        <v>#N/A</v>
      </c>
    </row>
    <row r="816" customFormat="false" ht="14.25" hidden="false" customHeight="false" outlineLevel="0" collapsed="false">
      <c r="H816" s="91" t="e">
        <f aca="false">INDEX(Companies,MATCH(G816,StationIDs,0),1)</f>
        <v>#N/A</v>
      </c>
    </row>
    <row r="817" customFormat="false" ht="14.25" hidden="false" customHeight="false" outlineLevel="0" collapsed="false">
      <c r="H817" s="91" t="e">
        <f aca="false">INDEX(Companies,MATCH(G817,StationIDs,0),1)</f>
        <v>#N/A</v>
      </c>
    </row>
    <row r="818" customFormat="false" ht="14.25" hidden="false" customHeight="false" outlineLevel="0" collapsed="false">
      <c r="H818" s="91" t="e">
        <f aca="false">INDEX(Companies,MATCH(G818,StationIDs,0),1)</f>
        <v>#N/A</v>
      </c>
    </row>
    <row r="819" customFormat="false" ht="14.25" hidden="false" customHeight="false" outlineLevel="0" collapsed="false">
      <c r="H819" s="91" t="e">
        <f aca="false">INDEX(Companies,MATCH(G819,StationIDs,0),1)</f>
        <v>#N/A</v>
      </c>
    </row>
    <row r="820" customFormat="false" ht="14.25" hidden="false" customHeight="false" outlineLevel="0" collapsed="false">
      <c r="H820" s="91" t="e">
        <f aca="false">INDEX(Companies,MATCH(G820,StationIDs,0),1)</f>
        <v>#N/A</v>
      </c>
    </row>
    <row r="821" customFormat="false" ht="14.25" hidden="false" customHeight="false" outlineLevel="0" collapsed="false">
      <c r="H821" s="91" t="e">
        <f aca="false">INDEX(Companies,MATCH(G821,StationIDs,0),1)</f>
        <v>#N/A</v>
      </c>
    </row>
    <row r="822" customFormat="false" ht="14.25" hidden="false" customHeight="false" outlineLevel="0" collapsed="false">
      <c r="H822" s="91" t="e">
        <f aca="false">INDEX(Companies,MATCH(G822,StationIDs,0),1)</f>
        <v>#N/A</v>
      </c>
    </row>
    <row r="823" customFormat="false" ht="14.25" hidden="false" customHeight="false" outlineLevel="0" collapsed="false">
      <c r="H823" s="91" t="e">
        <f aca="false">INDEX(Companies,MATCH(G823,StationIDs,0),1)</f>
        <v>#N/A</v>
      </c>
    </row>
    <row r="824" customFormat="false" ht="14.25" hidden="false" customHeight="false" outlineLevel="0" collapsed="false">
      <c r="H824" s="91" t="e">
        <f aca="false">INDEX(Companies,MATCH(G824,StationIDs,0),1)</f>
        <v>#N/A</v>
      </c>
    </row>
    <row r="825" customFormat="false" ht="14.25" hidden="false" customHeight="false" outlineLevel="0" collapsed="false">
      <c r="H825" s="91" t="e">
        <f aca="false">INDEX(Companies,MATCH(G825,StationIDs,0),1)</f>
        <v>#N/A</v>
      </c>
    </row>
    <row r="826" customFormat="false" ht="14.25" hidden="false" customHeight="false" outlineLevel="0" collapsed="false">
      <c r="H826" s="91" t="e">
        <f aca="false">INDEX(Companies,MATCH(G826,StationIDs,0),1)</f>
        <v>#N/A</v>
      </c>
    </row>
    <row r="827" customFormat="false" ht="14.25" hidden="false" customHeight="false" outlineLevel="0" collapsed="false">
      <c r="H827" s="91" t="e">
        <f aca="false">INDEX(Companies,MATCH(G827,StationIDs,0),1)</f>
        <v>#N/A</v>
      </c>
    </row>
    <row r="828" customFormat="false" ht="14.25" hidden="false" customHeight="false" outlineLevel="0" collapsed="false">
      <c r="H828" s="91" t="e">
        <f aca="false">INDEX(Companies,MATCH(G828,StationIDs,0),1)</f>
        <v>#N/A</v>
      </c>
    </row>
    <row r="829" customFormat="false" ht="14.25" hidden="false" customHeight="false" outlineLevel="0" collapsed="false">
      <c r="H829" s="91" t="e">
        <f aca="false">INDEX(Companies,MATCH(G829,StationIDs,0),1)</f>
        <v>#N/A</v>
      </c>
    </row>
    <row r="830" customFormat="false" ht="14.25" hidden="false" customHeight="false" outlineLevel="0" collapsed="false">
      <c r="H830" s="91" t="e">
        <f aca="false">INDEX(Companies,MATCH(G830,StationIDs,0),1)</f>
        <v>#N/A</v>
      </c>
    </row>
    <row r="831" customFormat="false" ht="14.25" hidden="false" customHeight="false" outlineLevel="0" collapsed="false">
      <c r="H831" s="91" t="e">
        <f aca="false">INDEX(Companies,MATCH(G831,StationIDs,0),1)</f>
        <v>#N/A</v>
      </c>
    </row>
    <row r="832" customFormat="false" ht="14.25" hidden="false" customHeight="false" outlineLevel="0" collapsed="false">
      <c r="H832" s="91" t="e">
        <f aca="false">INDEX(Companies,MATCH(G832,StationIDs,0),1)</f>
        <v>#N/A</v>
      </c>
    </row>
    <row r="833" customFormat="false" ht="14.25" hidden="false" customHeight="false" outlineLevel="0" collapsed="false">
      <c r="H833" s="91" t="e">
        <f aca="false">INDEX(Companies,MATCH(G833,StationIDs,0),1)</f>
        <v>#N/A</v>
      </c>
    </row>
    <row r="834" customFormat="false" ht="14.25" hidden="false" customHeight="false" outlineLevel="0" collapsed="false">
      <c r="H834" s="91" t="e">
        <f aca="false">INDEX(Companies,MATCH(G834,StationIDs,0),1)</f>
        <v>#N/A</v>
      </c>
    </row>
    <row r="835" customFormat="false" ht="14.25" hidden="false" customHeight="false" outlineLevel="0" collapsed="false">
      <c r="H835" s="91" t="e">
        <f aca="false">INDEX(Companies,MATCH(G835,StationIDs,0),1)</f>
        <v>#N/A</v>
      </c>
    </row>
    <row r="836" customFormat="false" ht="14.25" hidden="false" customHeight="false" outlineLevel="0" collapsed="false">
      <c r="H836" s="91" t="e">
        <f aca="false">INDEX(Companies,MATCH(G836,StationIDs,0),1)</f>
        <v>#N/A</v>
      </c>
    </row>
    <row r="837" customFormat="false" ht="14.25" hidden="false" customHeight="false" outlineLevel="0" collapsed="false">
      <c r="H837" s="91" t="e">
        <f aca="false">INDEX(Companies,MATCH(G837,StationIDs,0),1)</f>
        <v>#N/A</v>
      </c>
    </row>
    <row r="838" customFormat="false" ht="14.25" hidden="false" customHeight="false" outlineLevel="0" collapsed="false">
      <c r="H838" s="91" t="e">
        <f aca="false">INDEX(Companies,MATCH(G838,StationIDs,0),1)</f>
        <v>#N/A</v>
      </c>
    </row>
    <row r="839" customFormat="false" ht="14.25" hidden="false" customHeight="false" outlineLevel="0" collapsed="false">
      <c r="H839" s="91" t="e">
        <f aca="false">INDEX(Companies,MATCH(G839,StationIDs,0),1)</f>
        <v>#N/A</v>
      </c>
    </row>
    <row r="840" customFormat="false" ht="14.25" hidden="false" customHeight="false" outlineLevel="0" collapsed="false">
      <c r="H840" s="91" t="e">
        <f aca="false">INDEX(Companies,MATCH(G840,StationIDs,0),1)</f>
        <v>#N/A</v>
      </c>
    </row>
    <row r="841" customFormat="false" ht="14.25" hidden="false" customHeight="false" outlineLevel="0" collapsed="false">
      <c r="H841" s="91" t="e">
        <f aca="false">INDEX(Companies,MATCH(G841,StationIDs,0),1)</f>
        <v>#N/A</v>
      </c>
    </row>
    <row r="842" customFormat="false" ht="14.25" hidden="false" customHeight="false" outlineLevel="0" collapsed="false">
      <c r="H842" s="91" t="e">
        <f aca="false">INDEX(Companies,MATCH(G842,StationIDs,0),1)</f>
        <v>#N/A</v>
      </c>
    </row>
    <row r="843" customFormat="false" ht="14.25" hidden="false" customHeight="false" outlineLevel="0" collapsed="false">
      <c r="H843" s="91" t="e">
        <f aca="false">INDEX(Companies,MATCH(G843,StationIDs,0),1)</f>
        <v>#N/A</v>
      </c>
    </row>
    <row r="844" customFormat="false" ht="14.25" hidden="false" customHeight="false" outlineLevel="0" collapsed="false">
      <c r="H844" s="91" t="e">
        <f aca="false">INDEX(Companies,MATCH(G844,StationIDs,0),1)</f>
        <v>#N/A</v>
      </c>
    </row>
    <row r="845" customFormat="false" ht="14.25" hidden="false" customHeight="false" outlineLevel="0" collapsed="false">
      <c r="H845" s="91" t="e">
        <f aca="false">INDEX(Companies,MATCH(G845,StationIDs,0),1)</f>
        <v>#N/A</v>
      </c>
    </row>
    <row r="846" customFormat="false" ht="14.25" hidden="false" customHeight="false" outlineLevel="0" collapsed="false">
      <c r="H846" s="91" t="e">
        <f aca="false">INDEX(Companies,MATCH(G846,StationIDs,0),1)</f>
        <v>#N/A</v>
      </c>
    </row>
    <row r="847" customFormat="false" ht="14.25" hidden="false" customHeight="false" outlineLevel="0" collapsed="false">
      <c r="H847" s="91" t="e">
        <f aca="false">INDEX(Companies,MATCH(G847,StationIDs,0),1)</f>
        <v>#N/A</v>
      </c>
    </row>
    <row r="848" customFormat="false" ht="14.25" hidden="false" customHeight="false" outlineLevel="0" collapsed="false">
      <c r="H848" s="91" t="e">
        <f aca="false">INDEX(Companies,MATCH(G848,StationIDs,0),1)</f>
        <v>#N/A</v>
      </c>
    </row>
    <row r="849" customFormat="false" ht="14.25" hidden="false" customHeight="false" outlineLevel="0" collapsed="false">
      <c r="H849" s="91" t="e">
        <f aca="false">INDEX(Companies,MATCH(G849,StationIDs,0),1)</f>
        <v>#N/A</v>
      </c>
    </row>
    <row r="850" customFormat="false" ht="14.25" hidden="false" customHeight="false" outlineLevel="0" collapsed="false">
      <c r="H850" s="91" t="e">
        <f aca="false">INDEX(Companies,MATCH(G850,StationIDs,0),1)</f>
        <v>#N/A</v>
      </c>
    </row>
    <row r="851" customFormat="false" ht="14.25" hidden="false" customHeight="false" outlineLevel="0" collapsed="false">
      <c r="H851" s="91" t="e">
        <f aca="false">INDEX(Companies,MATCH(G851,StationIDs,0),1)</f>
        <v>#N/A</v>
      </c>
    </row>
    <row r="852" customFormat="false" ht="14.25" hidden="false" customHeight="false" outlineLevel="0" collapsed="false">
      <c r="H852" s="91" t="e">
        <f aca="false">INDEX(Companies,MATCH(G852,StationIDs,0),1)</f>
        <v>#N/A</v>
      </c>
    </row>
    <row r="853" customFormat="false" ht="14.25" hidden="false" customHeight="false" outlineLevel="0" collapsed="false">
      <c r="H853" s="91" t="e">
        <f aca="false">INDEX(Companies,MATCH(G853,StationIDs,0),1)</f>
        <v>#N/A</v>
      </c>
    </row>
    <row r="854" customFormat="false" ht="14.25" hidden="false" customHeight="false" outlineLevel="0" collapsed="false">
      <c r="H854" s="91" t="e">
        <f aca="false">INDEX(Companies,MATCH(G854,StationIDs,0),1)</f>
        <v>#N/A</v>
      </c>
    </row>
    <row r="855" customFormat="false" ht="14.25" hidden="false" customHeight="false" outlineLevel="0" collapsed="false">
      <c r="H855" s="91" t="e">
        <f aca="false">INDEX(Companies,MATCH(G855,StationIDs,0),1)</f>
        <v>#N/A</v>
      </c>
    </row>
    <row r="856" customFormat="false" ht="14.25" hidden="false" customHeight="false" outlineLevel="0" collapsed="false">
      <c r="H856" s="91" t="e">
        <f aca="false">INDEX(Companies,MATCH(G856,StationIDs,0),1)</f>
        <v>#N/A</v>
      </c>
    </row>
    <row r="857" customFormat="false" ht="14.25" hidden="false" customHeight="false" outlineLevel="0" collapsed="false">
      <c r="H857" s="91" t="e">
        <f aca="false">INDEX(Companies,MATCH(G857,StationIDs,0),1)</f>
        <v>#N/A</v>
      </c>
    </row>
    <row r="858" customFormat="false" ht="14.25" hidden="false" customHeight="false" outlineLevel="0" collapsed="false">
      <c r="H858" s="91" t="e">
        <f aca="false">INDEX(Companies,MATCH(G858,StationIDs,0),1)</f>
        <v>#N/A</v>
      </c>
    </row>
    <row r="859" customFormat="false" ht="14.25" hidden="false" customHeight="false" outlineLevel="0" collapsed="false">
      <c r="H859" s="91" t="e">
        <f aca="false">INDEX(Companies,MATCH(G859,StationIDs,0),1)</f>
        <v>#N/A</v>
      </c>
    </row>
    <row r="860" customFormat="false" ht="14.25" hidden="false" customHeight="false" outlineLevel="0" collapsed="false">
      <c r="H860" s="91" t="e">
        <f aca="false">INDEX(Companies,MATCH(G860,StationIDs,0),1)</f>
        <v>#N/A</v>
      </c>
    </row>
    <row r="861" customFormat="false" ht="14.25" hidden="false" customHeight="false" outlineLevel="0" collapsed="false">
      <c r="H861" s="91" t="e">
        <f aca="false">INDEX(Companies,MATCH(G861,StationIDs,0),1)</f>
        <v>#N/A</v>
      </c>
    </row>
    <row r="862" customFormat="false" ht="14.25" hidden="false" customHeight="false" outlineLevel="0" collapsed="false">
      <c r="H862" s="91" t="e">
        <f aca="false">INDEX(Companies,MATCH(G862,StationIDs,0),1)</f>
        <v>#N/A</v>
      </c>
    </row>
    <row r="863" customFormat="false" ht="14.25" hidden="false" customHeight="false" outlineLevel="0" collapsed="false">
      <c r="H863" s="91" t="e">
        <f aca="false">INDEX(Companies,MATCH(G863,StationIDs,0),1)</f>
        <v>#N/A</v>
      </c>
    </row>
    <row r="864" customFormat="false" ht="14.25" hidden="false" customHeight="false" outlineLevel="0" collapsed="false">
      <c r="H864" s="91" t="e">
        <f aca="false">INDEX(Companies,MATCH(G864,StationIDs,0),1)</f>
        <v>#N/A</v>
      </c>
    </row>
    <row r="865" customFormat="false" ht="14.25" hidden="false" customHeight="false" outlineLevel="0" collapsed="false">
      <c r="H865" s="91" t="e">
        <f aca="false">INDEX(Companies,MATCH(G865,StationIDs,0),1)</f>
        <v>#N/A</v>
      </c>
    </row>
    <row r="866" customFormat="false" ht="14.25" hidden="false" customHeight="false" outlineLevel="0" collapsed="false">
      <c r="H866" s="91" t="e">
        <f aca="false">INDEX(Companies,MATCH(G866,StationIDs,0),1)</f>
        <v>#N/A</v>
      </c>
    </row>
    <row r="867" customFormat="false" ht="14.25" hidden="false" customHeight="false" outlineLevel="0" collapsed="false">
      <c r="H867" s="91" t="e">
        <f aca="false">INDEX(Companies,MATCH(G867,StationIDs,0),1)</f>
        <v>#N/A</v>
      </c>
    </row>
    <row r="868" customFormat="false" ht="14.25" hidden="false" customHeight="false" outlineLevel="0" collapsed="false">
      <c r="H868" s="91" t="e">
        <f aca="false">INDEX(Companies,MATCH(G868,StationIDs,0),1)</f>
        <v>#N/A</v>
      </c>
    </row>
    <row r="869" customFormat="false" ht="14.25" hidden="false" customHeight="false" outlineLevel="0" collapsed="false">
      <c r="H869" s="91" t="e">
        <f aca="false">INDEX(Companies,MATCH(G869,StationIDs,0),1)</f>
        <v>#N/A</v>
      </c>
    </row>
    <row r="870" customFormat="false" ht="14.25" hidden="false" customHeight="false" outlineLevel="0" collapsed="false">
      <c r="H870" s="91" t="e">
        <f aca="false">INDEX(Companies,MATCH(G870,StationIDs,0),1)</f>
        <v>#N/A</v>
      </c>
    </row>
    <row r="871" customFormat="false" ht="14.25" hidden="false" customHeight="false" outlineLevel="0" collapsed="false">
      <c r="H871" s="91" t="e">
        <f aca="false">INDEX(Companies,MATCH(G871,StationIDs,0),1)</f>
        <v>#N/A</v>
      </c>
    </row>
    <row r="872" customFormat="false" ht="14.25" hidden="false" customHeight="false" outlineLevel="0" collapsed="false">
      <c r="H872" s="91" t="e">
        <f aca="false">INDEX(Companies,MATCH(G872,StationIDs,0),1)</f>
        <v>#N/A</v>
      </c>
    </row>
    <row r="873" customFormat="false" ht="14.25" hidden="false" customHeight="false" outlineLevel="0" collapsed="false">
      <c r="H873" s="91" t="e">
        <f aca="false">INDEX(Companies,MATCH(G873,StationIDs,0),1)</f>
        <v>#N/A</v>
      </c>
    </row>
    <row r="874" customFormat="false" ht="14.25" hidden="false" customHeight="false" outlineLevel="0" collapsed="false">
      <c r="H874" s="91" t="e">
        <f aca="false">INDEX(Companies,MATCH(G874,StationIDs,0),1)</f>
        <v>#N/A</v>
      </c>
    </row>
    <row r="875" customFormat="false" ht="14.25" hidden="false" customHeight="false" outlineLevel="0" collapsed="false">
      <c r="H875" s="91" t="e">
        <f aca="false">INDEX(Companies,MATCH(G875,StationIDs,0),1)</f>
        <v>#N/A</v>
      </c>
    </row>
    <row r="876" customFormat="false" ht="14.25" hidden="false" customHeight="false" outlineLevel="0" collapsed="false">
      <c r="H876" s="91" t="e">
        <f aca="false">INDEX(Companies,MATCH(G876,StationIDs,0),1)</f>
        <v>#N/A</v>
      </c>
    </row>
    <row r="877" customFormat="false" ht="14.25" hidden="false" customHeight="false" outlineLevel="0" collapsed="false">
      <c r="H877" s="91" t="e">
        <f aca="false">INDEX(Companies,MATCH(G877,StationIDs,0),1)</f>
        <v>#N/A</v>
      </c>
    </row>
    <row r="878" customFormat="false" ht="14.25" hidden="false" customHeight="false" outlineLevel="0" collapsed="false">
      <c r="H878" s="91" t="e">
        <f aca="false">INDEX(Companies,MATCH(G878,StationIDs,0),1)</f>
        <v>#N/A</v>
      </c>
    </row>
    <row r="879" customFormat="false" ht="14.25" hidden="false" customHeight="false" outlineLevel="0" collapsed="false">
      <c r="H879" s="91" t="e">
        <f aca="false">INDEX(Companies,MATCH(G879,StationIDs,0),1)</f>
        <v>#N/A</v>
      </c>
    </row>
    <row r="880" customFormat="false" ht="14.25" hidden="false" customHeight="false" outlineLevel="0" collapsed="false">
      <c r="H880" s="91" t="e">
        <f aca="false">INDEX(Companies,MATCH(G880,StationIDs,0),1)</f>
        <v>#N/A</v>
      </c>
    </row>
    <row r="881" customFormat="false" ht="14.25" hidden="false" customHeight="false" outlineLevel="0" collapsed="false">
      <c r="H881" s="91" t="e">
        <f aca="false">INDEX(Companies,MATCH(G881,StationIDs,0),1)</f>
        <v>#N/A</v>
      </c>
    </row>
    <row r="882" customFormat="false" ht="14.25" hidden="false" customHeight="false" outlineLevel="0" collapsed="false">
      <c r="H882" s="91" t="e">
        <f aca="false">INDEX(Companies,MATCH(G882,StationIDs,0),1)</f>
        <v>#N/A</v>
      </c>
    </row>
    <row r="883" customFormat="false" ht="14.25" hidden="false" customHeight="false" outlineLevel="0" collapsed="false">
      <c r="H883" s="91" t="e">
        <f aca="false">INDEX(Companies,MATCH(G883,StationIDs,0),1)</f>
        <v>#N/A</v>
      </c>
    </row>
    <row r="884" customFormat="false" ht="14.25" hidden="false" customHeight="false" outlineLevel="0" collapsed="false">
      <c r="H884" s="91" t="e">
        <f aca="false">INDEX(Companies,MATCH(G884,StationIDs,0),1)</f>
        <v>#N/A</v>
      </c>
    </row>
    <row r="885" customFormat="false" ht="14.25" hidden="false" customHeight="false" outlineLevel="0" collapsed="false">
      <c r="H885" s="91" t="e">
        <f aca="false">INDEX(Companies,MATCH(G885,StationIDs,0),1)</f>
        <v>#N/A</v>
      </c>
    </row>
    <row r="886" customFormat="false" ht="14.25" hidden="false" customHeight="false" outlineLevel="0" collapsed="false">
      <c r="H886" s="91" t="e">
        <f aca="false">INDEX(Companies,MATCH(G886,StationIDs,0),1)</f>
        <v>#N/A</v>
      </c>
    </row>
    <row r="887" customFormat="false" ht="14.25" hidden="false" customHeight="false" outlineLevel="0" collapsed="false">
      <c r="H887" s="91" t="e">
        <f aca="false">INDEX(Companies,MATCH(G887,StationIDs,0),1)</f>
        <v>#N/A</v>
      </c>
    </row>
    <row r="888" customFormat="false" ht="14.25" hidden="false" customHeight="false" outlineLevel="0" collapsed="false">
      <c r="H888" s="91" t="e">
        <f aca="false">INDEX(Companies,MATCH(G888,StationIDs,0),1)</f>
        <v>#N/A</v>
      </c>
    </row>
    <row r="889" customFormat="false" ht="14.25" hidden="false" customHeight="false" outlineLevel="0" collapsed="false">
      <c r="H889" s="91" t="e">
        <f aca="false">INDEX(Companies,MATCH(G889,StationIDs,0),1)</f>
        <v>#N/A</v>
      </c>
    </row>
    <row r="890" customFormat="false" ht="14.25" hidden="false" customHeight="false" outlineLevel="0" collapsed="false">
      <c r="H890" s="91" t="e">
        <f aca="false">INDEX(Companies,MATCH(G890,StationIDs,0),1)</f>
        <v>#N/A</v>
      </c>
    </row>
    <row r="891" customFormat="false" ht="14.25" hidden="false" customHeight="false" outlineLevel="0" collapsed="false">
      <c r="H891" s="91" t="e">
        <f aca="false">INDEX(Companies,MATCH(G891,StationIDs,0),1)</f>
        <v>#N/A</v>
      </c>
    </row>
    <row r="892" customFormat="false" ht="14.25" hidden="false" customHeight="false" outlineLevel="0" collapsed="false">
      <c r="H892" s="91" t="e">
        <f aca="false">INDEX(Companies,MATCH(G892,StationIDs,0),1)</f>
        <v>#N/A</v>
      </c>
    </row>
    <row r="893" customFormat="false" ht="14.25" hidden="false" customHeight="false" outlineLevel="0" collapsed="false">
      <c r="H893" s="91" t="e">
        <f aca="false">INDEX(Companies,MATCH(G893,StationIDs,0),1)</f>
        <v>#N/A</v>
      </c>
    </row>
    <row r="894" customFormat="false" ht="14.25" hidden="false" customHeight="false" outlineLevel="0" collapsed="false">
      <c r="H894" s="91" t="e">
        <f aca="false">INDEX(Companies,MATCH(G894,StationIDs,0),1)</f>
        <v>#N/A</v>
      </c>
    </row>
    <row r="895" customFormat="false" ht="14.25" hidden="false" customHeight="false" outlineLevel="0" collapsed="false">
      <c r="H895" s="91" t="e">
        <f aca="false">INDEX(Companies,MATCH(G895,StationIDs,0),1)</f>
        <v>#N/A</v>
      </c>
    </row>
    <row r="896" customFormat="false" ht="14.25" hidden="false" customHeight="false" outlineLevel="0" collapsed="false">
      <c r="H896" s="91" t="e">
        <f aca="false">INDEX(Companies,MATCH(G896,StationIDs,0),1)</f>
        <v>#N/A</v>
      </c>
    </row>
    <row r="897" customFormat="false" ht="14.25" hidden="false" customHeight="false" outlineLevel="0" collapsed="false">
      <c r="H897" s="91" t="e">
        <f aca="false">INDEX(Companies,MATCH(G897,StationIDs,0),1)</f>
        <v>#N/A</v>
      </c>
    </row>
    <row r="898" customFormat="false" ht="14.25" hidden="false" customHeight="false" outlineLevel="0" collapsed="false">
      <c r="H898" s="91" t="e">
        <f aca="false">INDEX(Companies,MATCH(G898,StationIDs,0),1)</f>
        <v>#N/A</v>
      </c>
    </row>
    <row r="899" customFormat="false" ht="14.25" hidden="false" customHeight="false" outlineLevel="0" collapsed="false">
      <c r="H899" s="91" t="e">
        <f aca="false">INDEX(Companies,MATCH(G899,StationIDs,0),1)</f>
        <v>#N/A</v>
      </c>
    </row>
    <row r="900" customFormat="false" ht="14.25" hidden="false" customHeight="false" outlineLevel="0" collapsed="false">
      <c r="H900" s="91" t="e">
        <f aca="false">INDEX(Companies,MATCH(G900,StationIDs,0),1)</f>
        <v>#N/A</v>
      </c>
    </row>
    <row r="901" customFormat="false" ht="14.25" hidden="false" customHeight="false" outlineLevel="0" collapsed="false">
      <c r="H901" s="91" t="e">
        <f aca="false">INDEX(Companies,MATCH(G901,StationIDs,0),1)</f>
        <v>#N/A</v>
      </c>
    </row>
    <row r="902" customFormat="false" ht="14.25" hidden="false" customHeight="false" outlineLevel="0" collapsed="false">
      <c r="H902" s="91" t="e">
        <f aca="false">INDEX(Companies,MATCH(G902,StationIDs,0),1)</f>
        <v>#N/A</v>
      </c>
    </row>
    <row r="903" customFormat="false" ht="14.25" hidden="false" customHeight="false" outlineLevel="0" collapsed="false">
      <c r="H903" s="91" t="e">
        <f aca="false">INDEX(Companies,MATCH(G903,StationIDs,0),1)</f>
        <v>#N/A</v>
      </c>
    </row>
    <row r="904" customFormat="false" ht="14.25" hidden="false" customHeight="false" outlineLevel="0" collapsed="false">
      <c r="H904" s="91" t="e">
        <f aca="false">INDEX(Companies,MATCH(G904,StationIDs,0),1)</f>
        <v>#N/A</v>
      </c>
    </row>
    <row r="905" customFormat="false" ht="14.25" hidden="false" customHeight="false" outlineLevel="0" collapsed="false">
      <c r="H905" s="91" t="e">
        <f aca="false">INDEX(Companies,MATCH(G905,StationIDs,0),1)</f>
        <v>#N/A</v>
      </c>
    </row>
    <row r="906" customFormat="false" ht="14.25" hidden="false" customHeight="false" outlineLevel="0" collapsed="false">
      <c r="H906" s="91" t="e">
        <f aca="false">INDEX(Companies,MATCH(G906,StationIDs,0),1)</f>
        <v>#N/A</v>
      </c>
    </row>
    <row r="907" customFormat="false" ht="14.25" hidden="false" customHeight="false" outlineLevel="0" collapsed="false">
      <c r="H907" s="91" t="e">
        <f aca="false">INDEX(Companies,MATCH(G907,StationIDs,0),1)</f>
        <v>#N/A</v>
      </c>
    </row>
    <row r="908" customFormat="false" ht="14.25" hidden="false" customHeight="false" outlineLevel="0" collapsed="false">
      <c r="H908" s="91" t="e">
        <f aca="false">INDEX(Companies,MATCH(G908,StationIDs,0),1)</f>
        <v>#N/A</v>
      </c>
    </row>
    <row r="909" customFormat="false" ht="14.25" hidden="false" customHeight="false" outlineLevel="0" collapsed="false">
      <c r="H909" s="91" t="e">
        <f aca="false">INDEX(Companies,MATCH(G909,StationIDs,0),1)</f>
        <v>#N/A</v>
      </c>
    </row>
    <row r="910" customFormat="false" ht="14.25" hidden="false" customHeight="false" outlineLevel="0" collapsed="false">
      <c r="H910" s="91" t="e">
        <f aca="false">INDEX(Companies,MATCH(G910,StationIDs,0),1)</f>
        <v>#N/A</v>
      </c>
    </row>
    <row r="911" customFormat="false" ht="14.25" hidden="false" customHeight="false" outlineLevel="0" collapsed="false">
      <c r="H911" s="91" t="e">
        <f aca="false">INDEX(Companies,MATCH(G911,StationIDs,0),1)</f>
        <v>#N/A</v>
      </c>
    </row>
    <row r="912" customFormat="false" ht="14.25" hidden="false" customHeight="false" outlineLevel="0" collapsed="false">
      <c r="H912" s="91" t="e">
        <f aca="false">INDEX(Companies,MATCH(G912,StationIDs,0),1)</f>
        <v>#N/A</v>
      </c>
    </row>
    <row r="913" customFormat="false" ht="14.25" hidden="false" customHeight="false" outlineLevel="0" collapsed="false">
      <c r="H913" s="91" t="e">
        <f aca="false">INDEX(Companies,MATCH(G913,StationIDs,0),1)</f>
        <v>#N/A</v>
      </c>
    </row>
    <row r="914" customFormat="false" ht="14.25" hidden="false" customHeight="false" outlineLevel="0" collapsed="false">
      <c r="H914" s="91" t="e">
        <f aca="false">INDEX(Companies,MATCH(G914,StationIDs,0),1)</f>
        <v>#N/A</v>
      </c>
    </row>
    <row r="915" customFormat="false" ht="14.25" hidden="false" customHeight="false" outlineLevel="0" collapsed="false">
      <c r="H915" s="91" t="e">
        <f aca="false">INDEX(Companies,MATCH(G915,StationIDs,0),1)</f>
        <v>#N/A</v>
      </c>
    </row>
    <row r="916" customFormat="false" ht="14.25" hidden="false" customHeight="false" outlineLevel="0" collapsed="false">
      <c r="H916" s="91" t="e">
        <f aca="false">INDEX(Companies,MATCH(G916,StationIDs,0),1)</f>
        <v>#N/A</v>
      </c>
    </row>
    <row r="917" customFormat="false" ht="14.25" hidden="false" customHeight="false" outlineLevel="0" collapsed="false">
      <c r="H917" s="91" t="e">
        <f aca="false">INDEX(Companies,MATCH(G917,StationIDs,0),1)</f>
        <v>#N/A</v>
      </c>
    </row>
    <row r="918" customFormat="false" ht="14.25" hidden="false" customHeight="false" outlineLevel="0" collapsed="false">
      <c r="H918" s="91" t="e">
        <f aca="false">INDEX(Companies,MATCH(G918,StationIDs,0),1)</f>
        <v>#N/A</v>
      </c>
    </row>
    <row r="919" customFormat="false" ht="14.25" hidden="false" customHeight="false" outlineLevel="0" collapsed="false">
      <c r="H919" s="91" t="e">
        <f aca="false">INDEX(Companies,MATCH(G919,StationIDs,0),1)</f>
        <v>#N/A</v>
      </c>
    </row>
    <row r="920" customFormat="false" ht="14.25" hidden="false" customHeight="false" outlineLevel="0" collapsed="false">
      <c r="H920" s="91" t="e">
        <f aca="false">INDEX(Companies,MATCH(G920,StationIDs,0),1)</f>
        <v>#N/A</v>
      </c>
    </row>
    <row r="921" customFormat="false" ht="14.25" hidden="false" customHeight="false" outlineLevel="0" collapsed="false">
      <c r="H921" s="91" t="e">
        <f aca="false">INDEX(Companies,MATCH(G921,StationIDs,0),1)</f>
        <v>#N/A</v>
      </c>
    </row>
    <row r="922" customFormat="false" ht="14.25" hidden="false" customHeight="false" outlineLevel="0" collapsed="false">
      <c r="H922" s="91" t="e">
        <f aca="false">INDEX(Companies,MATCH(G922,StationIDs,0),1)</f>
        <v>#N/A</v>
      </c>
    </row>
    <row r="923" customFormat="false" ht="14.25" hidden="false" customHeight="false" outlineLevel="0" collapsed="false">
      <c r="H923" s="91" t="e">
        <f aca="false">INDEX(Companies,MATCH(G923,StationIDs,0),1)</f>
        <v>#N/A</v>
      </c>
    </row>
    <row r="924" customFormat="false" ht="14.25" hidden="false" customHeight="false" outlineLevel="0" collapsed="false">
      <c r="H924" s="91" t="e">
        <f aca="false">INDEX(Companies,MATCH(G924,StationIDs,0),1)</f>
        <v>#N/A</v>
      </c>
    </row>
    <row r="925" customFormat="false" ht="14.25" hidden="false" customHeight="false" outlineLevel="0" collapsed="false">
      <c r="H925" s="91" t="e">
        <f aca="false">INDEX(Companies,MATCH(G925,StationIDs,0),1)</f>
        <v>#N/A</v>
      </c>
    </row>
    <row r="926" customFormat="false" ht="14.25" hidden="false" customHeight="false" outlineLevel="0" collapsed="false">
      <c r="H926" s="91" t="e">
        <f aca="false">INDEX(Companies,MATCH(G926,StationIDs,0),1)</f>
        <v>#N/A</v>
      </c>
    </row>
    <row r="927" customFormat="false" ht="14.25" hidden="false" customHeight="false" outlineLevel="0" collapsed="false">
      <c r="H927" s="91" t="e">
        <f aca="false">INDEX(Companies,MATCH(G927,StationIDs,0),1)</f>
        <v>#N/A</v>
      </c>
    </row>
    <row r="928" customFormat="false" ht="14.25" hidden="false" customHeight="false" outlineLevel="0" collapsed="false">
      <c r="H928" s="91" t="e">
        <f aca="false">INDEX(Companies,MATCH(G928,StationIDs,0),1)</f>
        <v>#N/A</v>
      </c>
    </row>
    <row r="929" customFormat="false" ht="14.25" hidden="false" customHeight="false" outlineLevel="0" collapsed="false">
      <c r="H929" s="91" t="e">
        <f aca="false">INDEX(Companies,MATCH(G929,StationIDs,0),1)</f>
        <v>#N/A</v>
      </c>
    </row>
    <row r="930" customFormat="false" ht="14.25" hidden="false" customHeight="false" outlineLevel="0" collapsed="false">
      <c r="H930" s="91" t="e">
        <f aca="false">INDEX(Companies,MATCH(G930,StationIDs,0),1)</f>
        <v>#N/A</v>
      </c>
    </row>
    <row r="931" customFormat="false" ht="14.25" hidden="false" customHeight="false" outlineLevel="0" collapsed="false">
      <c r="H931" s="91" t="e">
        <f aca="false">INDEX(Companies,MATCH(G931,StationIDs,0),1)</f>
        <v>#N/A</v>
      </c>
    </row>
    <row r="932" customFormat="false" ht="14.25" hidden="false" customHeight="false" outlineLevel="0" collapsed="false">
      <c r="H932" s="91" t="e">
        <f aca="false">INDEX(Companies,MATCH(G932,StationIDs,0),1)</f>
        <v>#N/A</v>
      </c>
    </row>
    <row r="933" customFormat="false" ht="14.25" hidden="false" customHeight="false" outlineLevel="0" collapsed="false">
      <c r="H933" s="91" t="e">
        <f aca="false">INDEX(Companies,MATCH(G933,StationIDs,0),1)</f>
        <v>#N/A</v>
      </c>
    </row>
    <row r="934" customFormat="false" ht="14.25" hidden="false" customHeight="false" outlineLevel="0" collapsed="false">
      <c r="H934" s="91" t="e">
        <f aca="false">INDEX(Companies,MATCH(G934,StationIDs,0),1)</f>
        <v>#N/A</v>
      </c>
    </row>
    <row r="935" customFormat="false" ht="14.25" hidden="false" customHeight="false" outlineLevel="0" collapsed="false">
      <c r="H935" s="91" t="e">
        <f aca="false">INDEX(Companies,MATCH(G935,StationIDs,0),1)</f>
        <v>#N/A</v>
      </c>
    </row>
    <row r="936" customFormat="false" ht="14.25" hidden="false" customHeight="false" outlineLevel="0" collapsed="false">
      <c r="H936" s="91" t="e">
        <f aca="false">INDEX(Companies,MATCH(G936,StationIDs,0),1)</f>
        <v>#N/A</v>
      </c>
    </row>
    <row r="937" customFormat="false" ht="14.25" hidden="false" customHeight="false" outlineLevel="0" collapsed="false">
      <c r="H937" s="91" t="e">
        <f aca="false">INDEX(Companies,MATCH(G937,StationIDs,0),1)</f>
        <v>#N/A</v>
      </c>
    </row>
    <row r="938" customFormat="false" ht="14.25" hidden="false" customHeight="false" outlineLevel="0" collapsed="false">
      <c r="H938" s="91" t="e">
        <f aca="false">INDEX(Companies,MATCH(G938,StationIDs,0),1)</f>
        <v>#N/A</v>
      </c>
    </row>
    <row r="939" customFormat="false" ht="14.25" hidden="false" customHeight="false" outlineLevel="0" collapsed="false">
      <c r="H939" s="91" t="e">
        <f aca="false">INDEX(Companies,MATCH(G939,StationIDs,0),1)</f>
        <v>#N/A</v>
      </c>
    </row>
    <row r="940" customFormat="false" ht="14.25" hidden="false" customHeight="false" outlineLevel="0" collapsed="false">
      <c r="H940" s="91" t="e">
        <f aca="false">INDEX(Companies,MATCH(G940,StationIDs,0),1)</f>
        <v>#N/A</v>
      </c>
    </row>
    <row r="941" customFormat="false" ht="14.25" hidden="false" customHeight="false" outlineLevel="0" collapsed="false">
      <c r="H941" s="91" t="e">
        <f aca="false">INDEX(Companies,MATCH(G941,StationIDs,0),1)</f>
        <v>#N/A</v>
      </c>
    </row>
    <row r="942" customFormat="false" ht="14.25" hidden="false" customHeight="false" outlineLevel="0" collapsed="false">
      <c r="H942" s="91" t="e">
        <f aca="false">INDEX(Companies,MATCH(G942,StationIDs,0),1)</f>
        <v>#N/A</v>
      </c>
    </row>
    <row r="943" customFormat="false" ht="14.25" hidden="false" customHeight="false" outlineLevel="0" collapsed="false">
      <c r="H943" s="91" t="e">
        <f aca="false">INDEX(Companies,MATCH(G943,StationIDs,0),1)</f>
        <v>#N/A</v>
      </c>
    </row>
    <row r="944" customFormat="false" ht="14.25" hidden="false" customHeight="false" outlineLevel="0" collapsed="false">
      <c r="H944" s="91" t="e">
        <f aca="false">INDEX(Companies,MATCH(G944,StationIDs,0),1)</f>
        <v>#N/A</v>
      </c>
    </row>
    <row r="945" customFormat="false" ht="14.25" hidden="false" customHeight="false" outlineLevel="0" collapsed="false">
      <c r="H945" s="91" t="e">
        <f aca="false">INDEX(Companies,MATCH(G945,StationIDs,0),1)</f>
        <v>#N/A</v>
      </c>
    </row>
    <row r="946" customFormat="false" ht="14.25" hidden="false" customHeight="false" outlineLevel="0" collapsed="false">
      <c r="H946" s="91" t="e">
        <f aca="false">INDEX(Companies,MATCH(G946,StationIDs,0),1)</f>
        <v>#N/A</v>
      </c>
    </row>
    <row r="947" customFormat="false" ht="14.25" hidden="false" customHeight="false" outlineLevel="0" collapsed="false">
      <c r="H947" s="91" t="e">
        <f aca="false">INDEX(Companies,MATCH(G947,StationIDs,0),1)</f>
        <v>#N/A</v>
      </c>
    </row>
    <row r="948" customFormat="false" ht="14.25" hidden="false" customHeight="false" outlineLevel="0" collapsed="false">
      <c r="H948" s="91" t="e">
        <f aca="false">INDEX(Companies,MATCH(G948,StationIDs,0),1)</f>
        <v>#N/A</v>
      </c>
    </row>
    <row r="949" customFormat="false" ht="14.25" hidden="false" customHeight="false" outlineLevel="0" collapsed="false">
      <c r="H949" s="91" t="e">
        <f aca="false">INDEX(Companies,MATCH(G949,StationIDs,0),1)</f>
        <v>#N/A</v>
      </c>
    </row>
    <row r="950" customFormat="false" ht="14.25" hidden="false" customHeight="false" outlineLevel="0" collapsed="false">
      <c r="H950" s="91" t="e">
        <f aca="false">INDEX(Companies,MATCH(G950,StationIDs,0),1)</f>
        <v>#N/A</v>
      </c>
    </row>
    <row r="951" customFormat="false" ht="14.25" hidden="false" customHeight="false" outlineLevel="0" collapsed="false">
      <c r="H951" s="91" t="e">
        <f aca="false">INDEX(Companies,MATCH(G951,StationIDs,0),1)</f>
        <v>#N/A</v>
      </c>
    </row>
    <row r="952" customFormat="false" ht="14.25" hidden="false" customHeight="false" outlineLevel="0" collapsed="false">
      <c r="H952" s="91" t="e">
        <f aca="false">INDEX(Companies,MATCH(G952,StationIDs,0),1)</f>
        <v>#N/A</v>
      </c>
    </row>
    <row r="953" customFormat="false" ht="14.25" hidden="false" customHeight="false" outlineLevel="0" collapsed="false">
      <c r="H953" s="91" t="e">
        <f aca="false">INDEX(Companies,MATCH(G953,StationIDs,0),1)</f>
        <v>#N/A</v>
      </c>
    </row>
    <row r="954" customFormat="false" ht="14.25" hidden="false" customHeight="false" outlineLevel="0" collapsed="false">
      <c r="H954" s="91" t="e">
        <f aca="false">INDEX(Companies,MATCH(G954,StationIDs,0),1)</f>
        <v>#N/A</v>
      </c>
    </row>
    <row r="955" customFormat="false" ht="14.25" hidden="false" customHeight="false" outlineLevel="0" collapsed="false">
      <c r="H955" s="91" t="e">
        <f aca="false">INDEX(Companies,MATCH(G955,StationIDs,0),1)</f>
        <v>#N/A</v>
      </c>
    </row>
    <row r="956" customFormat="false" ht="14.25" hidden="false" customHeight="false" outlineLevel="0" collapsed="false">
      <c r="H956" s="91" t="e">
        <f aca="false">INDEX(Companies,MATCH(G956,StationIDs,0),1)</f>
        <v>#N/A</v>
      </c>
    </row>
    <row r="957" customFormat="false" ht="14.25" hidden="false" customHeight="false" outlineLevel="0" collapsed="false">
      <c r="H957" s="91" t="e">
        <f aca="false">INDEX(Companies,MATCH(G957,StationIDs,0),1)</f>
        <v>#N/A</v>
      </c>
    </row>
    <row r="958" customFormat="false" ht="14.25" hidden="false" customHeight="false" outlineLevel="0" collapsed="false">
      <c r="H958" s="91" t="e">
        <f aca="false">INDEX(Companies,MATCH(G958,StationIDs,0),1)</f>
        <v>#N/A</v>
      </c>
    </row>
    <row r="959" customFormat="false" ht="14.25" hidden="false" customHeight="false" outlineLevel="0" collapsed="false">
      <c r="H959" s="91" t="e">
        <f aca="false">INDEX(Companies,MATCH(G959,StationIDs,0),1)</f>
        <v>#N/A</v>
      </c>
    </row>
    <row r="960" customFormat="false" ht="14.25" hidden="false" customHeight="false" outlineLevel="0" collapsed="false">
      <c r="H960" s="91" t="e">
        <f aca="false">INDEX(Companies,MATCH(G960,StationIDs,0),1)</f>
        <v>#N/A</v>
      </c>
    </row>
    <row r="961" customFormat="false" ht="14.25" hidden="false" customHeight="false" outlineLevel="0" collapsed="false">
      <c r="H961" s="91" t="e">
        <f aca="false">INDEX(Companies,MATCH(G961,StationIDs,0),1)</f>
        <v>#N/A</v>
      </c>
    </row>
    <row r="962" customFormat="false" ht="14.25" hidden="false" customHeight="false" outlineLevel="0" collapsed="false">
      <c r="H962" s="91" t="e">
        <f aca="false">INDEX(Companies,MATCH(G962,StationIDs,0),1)</f>
        <v>#N/A</v>
      </c>
    </row>
    <row r="963" customFormat="false" ht="14.25" hidden="false" customHeight="false" outlineLevel="0" collapsed="false">
      <c r="H963" s="91" t="e">
        <f aca="false">INDEX(Companies,MATCH(G963,StationIDs,0),1)</f>
        <v>#N/A</v>
      </c>
    </row>
    <row r="964" customFormat="false" ht="14.25" hidden="false" customHeight="false" outlineLevel="0" collapsed="false">
      <c r="H964" s="91" t="e">
        <f aca="false">INDEX(Companies,MATCH(G964,StationIDs,0),1)</f>
        <v>#N/A</v>
      </c>
    </row>
    <row r="965" customFormat="false" ht="14.25" hidden="false" customHeight="false" outlineLevel="0" collapsed="false">
      <c r="H965" s="91" t="e">
        <f aca="false">INDEX(Companies,MATCH(G965,StationIDs,0),1)</f>
        <v>#N/A</v>
      </c>
    </row>
    <row r="966" customFormat="false" ht="14.25" hidden="false" customHeight="false" outlineLevel="0" collapsed="false">
      <c r="H966" s="91" t="e">
        <f aca="false">INDEX(Companies,MATCH(G966,StationIDs,0),1)</f>
        <v>#N/A</v>
      </c>
    </row>
    <row r="967" customFormat="false" ht="14.25" hidden="false" customHeight="false" outlineLevel="0" collapsed="false">
      <c r="H967" s="91" t="e">
        <f aca="false">INDEX(Companies,MATCH(G967,StationIDs,0),1)</f>
        <v>#N/A</v>
      </c>
    </row>
    <row r="968" customFormat="false" ht="14.25" hidden="false" customHeight="false" outlineLevel="0" collapsed="false">
      <c r="H968" s="91" t="e">
        <f aca="false">INDEX(Companies,MATCH(G968,StationIDs,0),1)</f>
        <v>#N/A</v>
      </c>
    </row>
    <row r="969" customFormat="false" ht="14.25" hidden="false" customHeight="false" outlineLevel="0" collapsed="false">
      <c r="H969" s="91" t="e">
        <f aca="false">INDEX(Companies,MATCH(G969,StationIDs,0),1)</f>
        <v>#N/A</v>
      </c>
    </row>
    <row r="970" customFormat="false" ht="14.25" hidden="false" customHeight="false" outlineLevel="0" collapsed="false">
      <c r="H970" s="91" t="e">
        <f aca="false">INDEX(Companies,MATCH(G970,StationIDs,0),1)</f>
        <v>#N/A</v>
      </c>
    </row>
    <row r="971" customFormat="false" ht="14.25" hidden="false" customHeight="false" outlineLevel="0" collapsed="false">
      <c r="H971" s="91" t="e">
        <f aca="false">INDEX(Companies,MATCH(G971,StationIDs,0),1)</f>
        <v>#N/A</v>
      </c>
    </row>
    <row r="972" customFormat="false" ht="14.25" hidden="false" customHeight="false" outlineLevel="0" collapsed="false">
      <c r="H972" s="91" t="e">
        <f aca="false">INDEX(Companies,MATCH(G972,StationIDs,0),1)</f>
        <v>#N/A</v>
      </c>
    </row>
    <row r="973" customFormat="false" ht="14.25" hidden="false" customHeight="false" outlineLevel="0" collapsed="false">
      <c r="H973" s="91" t="e">
        <f aca="false">INDEX(Companies,MATCH(G973,StationIDs,0),1)</f>
        <v>#N/A</v>
      </c>
    </row>
    <row r="974" customFormat="false" ht="14.25" hidden="false" customHeight="false" outlineLevel="0" collapsed="false">
      <c r="H974" s="91" t="e">
        <f aca="false">INDEX(Companies,MATCH(G974,StationIDs,0),1)</f>
        <v>#N/A</v>
      </c>
    </row>
    <row r="975" customFormat="false" ht="14.25" hidden="false" customHeight="false" outlineLevel="0" collapsed="false">
      <c r="H975" s="91" t="e">
        <f aca="false">INDEX(Companies,MATCH(G975,StationIDs,0),1)</f>
        <v>#N/A</v>
      </c>
    </row>
    <row r="976" customFormat="false" ht="14.25" hidden="false" customHeight="false" outlineLevel="0" collapsed="false">
      <c r="H976" s="91" t="e">
        <f aca="false">INDEX(Companies,MATCH(G976,StationIDs,0),1)</f>
        <v>#N/A</v>
      </c>
    </row>
    <row r="977" customFormat="false" ht="14.25" hidden="false" customHeight="false" outlineLevel="0" collapsed="false">
      <c r="H977" s="91" t="e">
        <f aca="false">INDEX(Companies,MATCH(G977,StationIDs,0),1)</f>
        <v>#N/A</v>
      </c>
    </row>
    <row r="978" customFormat="false" ht="14.25" hidden="false" customHeight="false" outlineLevel="0" collapsed="false">
      <c r="H978" s="91" t="e">
        <f aca="false">INDEX(Companies,MATCH(G978,StationIDs,0),1)</f>
        <v>#N/A</v>
      </c>
    </row>
    <row r="979" customFormat="false" ht="14.25" hidden="false" customHeight="false" outlineLevel="0" collapsed="false">
      <c r="H979" s="91" t="e">
        <f aca="false">INDEX(Companies,MATCH(G979,StationIDs,0),1)</f>
        <v>#N/A</v>
      </c>
    </row>
    <row r="980" customFormat="false" ht="14.25" hidden="false" customHeight="false" outlineLevel="0" collapsed="false">
      <c r="H980" s="91" t="e">
        <f aca="false">INDEX(Companies,MATCH(G980,StationIDs,0),1)</f>
        <v>#N/A</v>
      </c>
    </row>
    <row r="981" customFormat="false" ht="14.25" hidden="false" customHeight="false" outlineLevel="0" collapsed="false">
      <c r="H981" s="91" t="e">
        <f aca="false">INDEX(Companies,MATCH(G981,StationIDs,0),1)</f>
        <v>#N/A</v>
      </c>
    </row>
    <row r="982" customFormat="false" ht="14.25" hidden="false" customHeight="false" outlineLevel="0" collapsed="false">
      <c r="H982" s="91" t="e">
        <f aca="false">INDEX(Companies,MATCH(G982,StationIDs,0),1)</f>
        <v>#N/A</v>
      </c>
    </row>
    <row r="983" customFormat="false" ht="14.25" hidden="false" customHeight="false" outlineLevel="0" collapsed="false">
      <c r="H983" s="91" t="e">
        <f aca="false">INDEX(Companies,MATCH(G983,StationIDs,0),1)</f>
        <v>#N/A</v>
      </c>
    </row>
    <row r="984" customFormat="false" ht="14.25" hidden="false" customHeight="false" outlineLevel="0" collapsed="false">
      <c r="H984" s="91" t="e">
        <f aca="false">INDEX(Companies,MATCH(G984,StationIDs,0),1)</f>
        <v>#N/A</v>
      </c>
    </row>
    <row r="985" customFormat="false" ht="14.25" hidden="false" customHeight="false" outlineLevel="0" collapsed="false">
      <c r="H985" s="91" t="e">
        <f aca="false">INDEX(Companies,MATCH(G985,StationIDs,0),1)</f>
        <v>#N/A</v>
      </c>
    </row>
    <row r="986" customFormat="false" ht="14.25" hidden="false" customHeight="false" outlineLevel="0" collapsed="false">
      <c r="H986" s="91" t="e">
        <f aca="false">INDEX(Companies,MATCH(G986,StationIDs,0),1)</f>
        <v>#N/A</v>
      </c>
    </row>
    <row r="987" customFormat="false" ht="14.25" hidden="false" customHeight="false" outlineLevel="0" collapsed="false">
      <c r="H987" s="91" t="e">
        <f aca="false">INDEX(Companies,MATCH(G987,StationIDs,0),1)</f>
        <v>#N/A</v>
      </c>
    </row>
    <row r="988" customFormat="false" ht="14.25" hidden="false" customHeight="false" outlineLevel="0" collapsed="false">
      <c r="H988" s="91" t="e">
        <f aca="false">INDEX(Companies,MATCH(G988,StationIDs,0),1)</f>
        <v>#N/A</v>
      </c>
    </row>
    <row r="989" customFormat="false" ht="14.25" hidden="false" customHeight="false" outlineLevel="0" collapsed="false">
      <c r="H989" s="91" t="e">
        <f aca="false">INDEX(Companies,MATCH(G989,StationIDs,0),1)</f>
        <v>#N/A</v>
      </c>
    </row>
    <row r="990" customFormat="false" ht="14.25" hidden="false" customHeight="false" outlineLevel="0" collapsed="false">
      <c r="H990" s="91" t="e">
        <f aca="false">INDEX(Companies,MATCH(G990,StationIDs,0),1)</f>
        <v>#N/A</v>
      </c>
    </row>
    <row r="991" customFormat="false" ht="14.25" hidden="false" customHeight="false" outlineLevel="0" collapsed="false">
      <c r="H991" s="91" t="e">
        <f aca="false">INDEX(Companies,MATCH(G991,StationIDs,0),1)</f>
        <v>#N/A</v>
      </c>
    </row>
    <row r="992" customFormat="false" ht="14.25" hidden="false" customHeight="false" outlineLevel="0" collapsed="false">
      <c r="H992" s="91" t="e">
        <f aca="false">INDEX(Companies,MATCH(G992,StationIDs,0),1)</f>
        <v>#N/A</v>
      </c>
    </row>
    <row r="993" customFormat="false" ht="14.25" hidden="false" customHeight="false" outlineLevel="0" collapsed="false">
      <c r="H993" s="91" t="e">
        <f aca="false">INDEX(Companies,MATCH(G993,StationIDs,0),1)</f>
        <v>#N/A</v>
      </c>
    </row>
    <row r="994" customFormat="false" ht="14.25" hidden="false" customHeight="false" outlineLevel="0" collapsed="false">
      <c r="H994" s="91" t="e">
        <f aca="false">INDEX(Companies,MATCH(G994,StationIDs,0),1)</f>
        <v>#N/A</v>
      </c>
    </row>
    <row r="995" customFormat="false" ht="14.25" hidden="false" customHeight="false" outlineLevel="0" collapsed="false">
      <c r="H995" s="91" t="e">
        <f aca="false">INDEX(Companies,MATCH(G995,StationIDs,0),1)</f>
        <v>#N/A</v>
      </c>
    </row>
    <row r="996" customFormat="false" ht="14.25" hidden="false" customHeight="false" outlineLevel="0" collapsed="false">
      <c r="H996" s="91" t="e">
        <f aca="false">INDEX(Companies,MATCH(G996,StationIDs,0),1)</f>
        <v>#N/A</v>
      </c>
    </row>
    <row r="997" customFormat="false" ht="14.25" hidden="false" customHeight="false" outlineLevel="0" collapsed="false">
      <c r="H997" s="91" t="e">
        <f aca="false">INDEX(Companies,MATCH(G997,StationIDs,0),1)</f>
        <v>#N/A</v>
      </c>
    </row>
    <row r="998" customFormat="false" ht="14.25" hidden="false" customHeight="false" outlineLevel="0" collapsed="false">
      <c r="H998" s="91" t="e">
        <f aca="false">INDEX(Companies,MATCH(G998,StationIDs,0),1)</f>
        <v>#N/A</v>
      </c>
    </row>
    <row r="999" customFormat="false" ht="14.25" hidden="false" customHeight="false" outlineLevel="0" collapsed="false">
      <c r="H999" s="91" t="e">
        <f aca="false">INDEX(Companies,MATCH(G999,StationIDs,0),1)</f>
        <v>#N/A</v>
      </c>
    </row>
    <row r="1000" customFormat="false" ht="14.25" hidden="false" customHeight="false" outlineLevel="0" collapsed="false">
      <c r="H1000" s="91" t="e">
        <f aca="false">INDEX(Companies,MATCH(G1000,StationIDs,0),1)</f>
        <v>#N/A</v>
      </c>
    </row>
  </sheetData>
  <mergeCells count="5">
    <mergeCell ref="A1:A2"/>
    <mergeCell ref="B1:D1"/>
    <mergeCell ref="E1:F1"/>
    <mergeCell ref="G1:G2"/>
    <mergeCell ref="H1:H2"/>
  </mergeCells>
  <dataValidations count="7">
    <dataValidation allowBlank="true" errorStyle="stop" operator="between" showDropDown="false" showErrorMessage="true" showInputMessage="true" sqref="B3:B150" type="whole">
      <formula1>1</formula1>
      <formula2>31</formula2>
    </dataValidation>
    <dataValidation allowBlank="true" errorStyle="stop" operator="between" showDropDown="false" showErrorMessage="true" showInputMessage="true" sqref="C3:C150" type="whole">
      <formula1>1</formula1>
      <formula2>12</formula2>
    </dataValidation>
    <dataValidation allowBlank="true" errorStyle="stop" operator="between" showDropDown="false" showErrorMessage="true" showInputMessage="true" sqref="D3:D150" type="whole">
      <formula1>1900</formula1>
      <formula2>3000</formula2>
    </dataValidation>
    <dataValidation allowBlank="true" errorStyle="stop" operator="between" showDropDown="false" showErrorMessage="true" showInputMessage="true" sqref="G3:G2000" type="list">
      <formula1>StationIDs</formula1>
      <formula2>0</formula2>
    </dataValidation>
    <dataValidation allowBlank="true" errorStyle="stop" operator="between" showDropDown="false" showErrorMessage="true" showInputMessage="true" sqref="A3:A2000" type="list">
      <formula1>lotnumbers</formula1>
      <formula2>0</formula2>
    </dataValidation>
    <dataValidation allowBlank="true" errorStyle="stop" operator="greaterThanOrEqual" showDropDown="false" showErrorMessage="true" showInputMessage="true" sqref="E3:E2000" type="decimal">
      <formula1>0</formula1>
      <formula2>0</formula2>
    </dataValidation>
    <dataValidation allowBlank="true" errorStyle="stop" operator="between" showDropDown="false" showErrorMessage="true" showInputMessage="true" sqref="F3:F2000" type="list">
      <formula1>units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45.84"/>
    <col collapsed="false" customWidth="true" hidden="false" outlineLevel="0" max="3" min="3" style="1" width="21.14"/>
    <col collapsed="false" customWidth="true" hidden="false" outlineLevel="0" max="4" min="4" style="1" width="14.71"/>
    <col collapsed="false" customWidth="false" hidden="false" outlineLevel="0" max="16384" min="5" style="1" width="9.14"/>
  </cols>
  <sheetData>
    <row r="1" customFormat="false" ht="15" hidden="false" customHeight="false" outlineLevel="0" collapsed="false">
      <c r="A1" s="97" t="s">
        <v>117</v>
      </c>
      <c r="B1" s="98" t="s">
        <v>149</v>
      </c>
      <c r="C1" s="98" t="s">
        <v>150</v>
      </c>
      <c r="D1" s="97" t="s">
        <v>151</v>
      </c>
    </row>
    <row r="2" customFormat="false" ht="15" hidden="false" customHeight="false" outlineLevel="0" collapsed="false">
      <c r="A2" s="99"/>
      <c r="D2" s="100"/>
    </row>
    <row r="3" customFormat="false" ht="15" hidden="false" customHeight="false" outlineLevel="0" collapsed="false">
      <c r="A3" s="99"/>
      <c r="D3" s="100"/>
    </row>
    <row r="4" customFormat="false" ht="15" hidden="false" customHeight="false" outlineLevel="0" collapsed="false">
      <c r="A4" s="99"/>
      <c r="D4" s="99"/>
    </row>
    <row r="5" customFormat="false" ht="15" hidden="false" customHeight="false" outlineLevel="0" collapsed="false">
      <c r="A5" s="99"/>
      <c r="D5" s="99"/>
    </row>
    <row r="6" customFormat="false" ht="15" hidden="false" customHeight="false" outlineLevel="0" collapsed="false">
      <c r="A6" s="99"/>
      <c r="D6" s="99"/>
    </row>
    <row r="7" customFormat="false" ht="15" hidden="false" customHeight="false" outlineLevel="0" collapsed="false">
      <c r="A7" s="101"/>
      <c r="D7" s="99"/>
    </row>
    <row r="8" customFormat="false" ht="15" hidden="false" customHeight="false" outlineLevel="0" collapsed="false">
      <c r="A8" s="101"/>
      <c r="D8" s="99"/>
    </row>
    <row r="9" customFormat="false" ht="15" hidden="false" customHeight="false" outlineLevel="0" collapsed="false">
      <c r="A9" s="101"/>
      <c r="D9" s="99"/>
    </row>
    <row r="10" customFormat="false" ht="15" hidden="false" customHeight="false" outlineLevel="0" collapsed="false">
      <c r="A10" s="101"/>
      <c r="D10" s="99"/>
    </row>
    <row r="11" customFormat="false" ht="15" hidden="false" customHeight="false" outlineLevel="0" collapsed="false">
      <c r="A11" s="101"/>
      <c r="D11" s="99"/>
    </row>
    <row r="12" customFormat="false" ht="15" hidden="false" customHeight="false" outlineLevel="0" collapsed="false">
      <c r="A12" s="101"/>
      <c r="D12" s="99"/>
    </row>
    <row r="13" customFormat="false" ht="15" hidden="false" customHeight="false" outlineLevel="0" collapsed="false">
      <c r="A13" s="101"/>
      <c r="D13" s="99"/>
    </row>
    <row r="14" customFormat="false" ht="15" hidden="false" customHeight="false" outlineLevel="0" collapsed="false">
      <c r="D14" s="99"/>
    </row>
    <row r="15" customFormat="false" ht="15" hidden="false" customHeight="false" outlineLevel="0" collapsed="false">
      <c r="D15" s="99"/>
    </row>
    <row r="16" customFormat="false" ht="15" hidden="false" customHeight="false" outlineLevel="0" collapsed="false">
      <c r="D16" s="99"/>
    </row>
    <row r="17" customFormat="false" ht="15" hidden="false" customHeight="false" outlineLevel="0" collapsed="false">
      <c r="D17" s="99"/>
    </row>
    <row r="18" customFormat="false" ht="15" hidden="false" customHeight="false" outlineLevel="0" collapsed="false">
      <c r="D18" s="99"/>
    </row>
    <row r="19" customFormat="false" ht="15" hidden="false" customHeight="false" outlineLevel="0" collapsed="false">
      <c r="D19" s="99"/>
    </row>
    <row r="20" customFormat="false" ht="15" hidden="false" customHeight="false" outlineLevel="0" collapsed="false">
      <c r="D20" s="99"/>
    </row>
    <row r="21" customFormat="false" ht="15" hidden="false" customHeight="false" outlineLevel="0" collapsed="false">
      <c r="D21" s="99"/>
    </row>
    <row r="22" customFormat="false" ht="15" hidden="false" customHeight="false" outlineLevel="0" collapsed="false">
      <c r="D22" s="99"/>
    </row>
    <row r="23" customFormat="false" ht="15" hidden="false" customHeight="false" outlineLevel="0" collapsed="false">
      <c r="D23" s="99"/>
    </row>
    <row r="24" customFormat="false" ht="15" hidden="false" customHeight="false" outlineLevel="0" collapsed="false">
      <c r="D24" s="99"/>
    </row>
    <row r="25" customFormat="false" ht="15" hidden="false" customHeight="false" outlineLevel="0" collapsed="false">
      <c r="D25" s="99"/>
    </row>
    <row r="26" customFormat="false" ht="15" hidden="false" customHeight="false" outlineLevel="0" collapsed="false">
      <c r="D26" s="99"/>
    </row>
    <row r="27" customFormat="false" ht="15" hidden="false" customHeight="false" outlineLevel="0" collapsed="false">
      <c r="D27" s="102"/>
    </row>
    <row r="28" customFormat="false" ht="15" hidden="false" customHeight="false" outlineLevel="0" collapsed="false">
      <c r="D28" s="99"/>
    </row>
    <row r="29" customFormat="false" ht="15" hidden="false" customHeight="false" outlineLevel="0" collapsed="false">
      <c r="D29" s="103"/>
    </row>
    <row r="30" customFormat="false" ht="15" hidden="false" customHeight="false" outlineLevel="0" collapsed="false">
      <c r="D30" s="103"/>
    </row>
    <row r="31" customFormat="false" ht="15" hidden="false" customHeight="false" outlineLevel="0" collapsed="false">
      <c r="D31" s="103"/>
    </row>
    <row r="32" customFormat="false" ht="15" hidden="false" customHeight="false" outlineLevel="0" collapsed="false">
      <c r="D32" s="103"/>
    </row>
    <row r="33" customFormat="false" ht="15" hidden="false" customHeight="false" outlineLevel="0" collapsed="false">
      <c r="D33" s="103"/>
    </row>
    <row r="34" customFormat="false" ht="15" hidden="false" customHeight="false" outlineLevel="0" collapsed="false">
      <c r="D34" s="10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5" zeroHeight="false" outlineLevelRow="0" outlineLevelCol="0"/>
  <cols>
    <col collapsed="false" customWidth="true" hidden="false" outlineLevel="0" max="1" min="1" style="1" width="108.15"/>
    <col collapsed="false" customWidth="true" hidden="false" outlineLevel="0" max="2" min="2" style="1" width="48.14"/>
    <col collapsed="false" customWidth="false" hidden="false" outlineLevel="0" max="16384" min="3" style="1" width="11.43"/>
  </cols>
  <sheetData>
    <row r="1" customFormat="false" ht="15" hidden="false" customHeight="false" outlineLevel="0" collapsed="false">
      <c r="A1" s="104" t="s">
        <v>152</v>
      </c>
    </row>
    <row r="2" customFormat="false" ht="15" hidden="false" customHeight="false" outlineLevel="0" collapsed="false">
      <c r="A2" s="105" t="s">
        <v>153</v>
      </c>
    </row>
    <row r="3" customFormat="false" ht="15" hidden="false" customHeight="false" outlineLevel="0" collapsed="false">
      <c r="A3" s="106" t="s">
        <v>154</v>
      </c>
      <c r="B3" s="107" t="s">
        <v>155</v>
      </c>
    </row>
    <row r="4" customFormat="false" ht="15" hidden="false" customHeight="false" outlineLevel="0" collapsed="false">
      <c r="A4" s="1" t="s">
        <v>58</v>
      </c>
      <c r="B4" s="1" t="s">
        <v>156</v>
      </c>
    </row>
    <row r="6" customFormat="false" ht="33.3" hidden="false" customHeight="false" outlineLevel="0" collapsed="false">
      <c r="A6" s="108" t="s">
        <v>157</v>
      </c>
    </row>
    <row r="7" customFormat="false" ht="15" hidden="false" customHeight="false" outlineLevel="0" collapsed="false">
      <c r="A7" s="1" t="s">
        <v>158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2026-01-20T09:41:07Z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